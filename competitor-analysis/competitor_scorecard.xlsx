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recard" sheetId="1" state="visible" r:id="rId1"/>
    <sheet name="OE Benchmark &amp; Gaps" sheetId="2" state="visible" r:id="rId2"/>
    <sheet name="Tactic Backlog" sheetId="3" state="visible" r:id="rId3"/>
    <sheet name="Scoring Model" sheetId="4" state="visible" r:id="rId4"/>
    <sheet name="Categories" sheetId="5" state="visible" r:id="rId5"/>
    <sheet name="Corrections &amp; Method" sheetId="6" state="visible" r:id="rId6"/>
  </sheets>
  <definedNames>
    <definedName name="_xlnm._FilterDatabase" localSheetId="0" hidden="1">'Scorecard'!$A$1:$V$48</definedName>
    <definedName name="_xlnm._FilterDatabase" localSheetId="2" hidden="1">'Tactic Backlog'!$A$1:$H$19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0B3C5D"/>
      <sz val="14"/>
    </font>
    <font>
      <b val="1"/>
      <color rgb="00922B21"/>
    </font>
    <font>
      <b val="1"/>
      <color rgb="001E8449"/>
    </font>
    <font>
      <b val="1"/>
      <color rgb="00B9770E"/>
    </font>
  </fonts>
  <fills count="10">
    <fill>
      <patternFill/>
    </fill>
    <fill>
      <patternFill patternType="gray125"/>
    </fill>
    <fill>
      <patternFill patternType="solid">
        <fgColor rgb="000B3C5D"/>
      </patternFill>
    </fill>
    <fill>
      <patternFill patternType="solid">
        <fgColor rgb="00FADBD8"/>
      </patternFill>
    </fill>
    <fill>
      <patternFill patternType="solid">
        <fgColor rgb="00EBF5FB"/>
      </patternFill>
    </fill>
    <fill>
      <patternFill patternType="solid">
        <fgColor rgb="00EAECEE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F8696B"/>
      </patternFill>
    </fill>
    <fill>
      <patternFill patternType="solid">
        <fgColor rgb="0063BE7B"/>
      </patternFill>
    </fill>
  </fills>
  <borders count="2">
    <border>
      <left/>
      <right/>
      <top/>
      <bottom/>
      <diagonal/>
    </border>
    <border>
      <left style="thin">
        <color rgb="00D5DBDB"/>
      </left>
      <right style="thin">
        <color rgb="00D5DBDB"/>
      </right>
      <top style="thin">
        <color rgb="00D5DBDB"/>
      </top>
      <bottom style="thin">
        <color rgb="00D5DB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1" applyAlignment="1" pivotButton="0" quotePrefix="0" xfId="0">
      <alignment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26" customWidth="1" min="3" max="3"/>
    <col width="20" customWidth="1" min="4" max="4"/>
    <col width="10" customWidth="1" min="5" max="5"/>
    <col width="30" customWidth="1" min="6" max="6"/>
    <col width="16" customWidth="1" min="7" max="7"/>
    <col width="20" customWidth="1" min="8" max="8"/>
    <col width="16" customWidth="1" min="9" max="9"/>
    <col width="16" customWidth="1" min="10" max="10"/>
    <col width="20" customWidth="1" min="11" max="11"/>
    <col width="10" customWidth="1" min="12" max="12"/>
    <col width="11" customWidth="1" min="13" max="13"/>
    <col width="9" customWidth="1" min="14" max="14"/>
    <col width="8" customWidth="1" min="15" max="15"/>
    <col width="10" customWidth="1" min="16" max="16"/>
    <col width="13" customWidth="1" min="17" max="17"/>
    <col width="13" customWidth="1" min="18" max="18"/>
    <col width="17" customWidth="1" min="19" max="19"/>
    <col width="30" customWidth="1" min="20" max="20"/>
    <col width="12" customWidth="1" min="21" max="21"/>
    <col width="11" customWidth="1" min="22" max="22"/>
  </cols>
  <sheetData>
    <row r="1" ht="40" customHeight="1">
      <c r="A1" s="1" t="inlineStr">
        <is>
          <t>Macro-category</t>
        </is>
      </c>
      <c r="B1" s="1" t="inlineStr">
        <is>
          <t>Sub-category</t>
        </is>
      </c>
      <c r="C1" s="1" t="inlineStr">
        <is>
          <t>Company</t>
        </is>
      </c>
      <c r="D1" s="1" t="inlineStr">
        <is>
          <t>Segment</t>
        </is>
      </c>
      <c r="E1" s="1" t="inlineStr">
        <is>
          <t>Seg. weight</t>
        </is>
      </c>
      <c r="F1" s="1" t="inlineStr">
        <is>
          <t>Status</t>
        </is>
      </c>
      <c r="G1" s="1" t="inlineStr">
        <is>
          <t>Metric level</t>
        </is>
      </c>
      <c r="H1" s="1" t="inlineStr">
        <is>
          <t>Own LinkedIn followers</t>
        </is>
      </c>
      <c r="I1" s="1" t="inlineStr">
        <is>
          <t>Own employees</t>
        </is>
      </c>
      <c r="J1" s="1" t="inlineStr">
        <is>
          <t>Parent / owner</t>
        </is>
      </c>
      <c r="K1" s="1" t="inlineStr">
        <is>
          <t>Parent followers (context)</t>
        </is>
      </c>
      <c r="L1" s="1" t="inlineStr">
        <is>
          <t>Relevance</t>
        </is>
      </c>
      <c r="M1" s="1" t="inlineStr">
        <is>
          <t>Positioning</t>
        </is>
      </c>
      <c r="N1" s="1" t="inlineStr">
        <is>
          <t>Traction</t>
        </is>
      </c>
      <c r="O1" s="1" t="inlineStr">
        <is>
          <t>Trust</t>
        </is>
      </c>
      <c r="P1" s="1" t="inlineStr">
        <is>
          <t>Community</t>
        </is>
      </c>
      <c r="Q1" s="1" t="inlineStr">
        <is>
          <t>Tactic transfer</t>
        </is>
      </c>
      <c r="R1" s="1" t="inlineStr">
        <is>
          <t>Composite (1-5)</t>
        </is>
      </c>
      <c r="S1" s="1" t="inlineStr">
        <is>
          <t>Strategic priority (0-100)</t>
        </is>
      </c>
      <c r="T1" s="1" t="inlineStr">
        <is>
          <t>Primary source (homepage)</t>
        </is>
      </c>
      <c r="U1" s="1" t="inlineStr">
        <is>
          <t>Access date</t>
        </is>
      </c>
      <c r="V1" s="1" t="inlineStr">
        <is>
          <t>Confidence</t>
        </is>
      </c>
    </row>
    <row r="2">
      <c r="A2" s="2" t="inlineStr">
        <is>
          <t>Decentralized / Web3 Data &amp; Compute</t>
        </is>
      </c>
      <c r="B2" s="2" t="inlineStr">
        <is>
          <t>Confidential L1 / Data DAO</t>
        </is>
      </c>
      <c r="C2" s="3" t="inlineStr">
        <is>
          <t>Oasis Protocol</t>
        </is>
      </c>
      <c r="D2" s="2" t="inlineStr">
        <is>
          <t>Direct competitor</t>
        </is>
      </c>
      <c r="E2" s="2" t="n">
        <v>1</v>
      </c>
      <c r="F2" s="2" t="inlineStr">
        <is>
          <t>Active; pivoted to confidential AI</t>
        </is>
      </c>
      <c r="G2" s="2" t="inlineStr">
        <is>
          <t>Company</t>
        </is>
      </c>
      <c r="H2" s="2" t="inlineStr">
        <is>
          <t>~6,400</t>
        </is>
      </c>
      <c r="I2" s="2" t="inlineStr">
        <is>
          <t>~100</t>
        </is>
      </c>
      <c r="J2" s="2" t="inlineStr">
        <is>
          <t>-</t>
        </is>
      </c>
      <c r="K2" s="2" t="inlineStr">
        <is>
          <t>-</t>
        </is>
      </c>
      <c r="L2" s="2" t="n">
        <v>4</v>
      </c>
      <c r="M2" s="2" t="n">
        <v>4</v>
      </c>
      <c r="N2" s="2" t="n">
        <v>3</v>
      </c>
      <c r="O2" s="2" t="n">
        <v>3</v>
      </c>
      <c r="P2" s="2" t="n">
        <v>3</v>
      </c>
      <c r="Q2" s="2" t="n">
        <v>4</v>
      </c>
      <c r="R2" s="2" t="n">
        <v>3.6</v>
      </c>
      <c r="S2" s="2" t="n">
        <v>72</v>
      </c>
      <c r="T2" s="2" t="inlineStr">
        <is>
          <t>https://oasis.net/</t>
        </is>
      </c>
      <c r="U2" s="2" t="inlineStr">
        <is>
          <t>2026-07-28</t>
        </is>
      </c>
      <c r="V2" s="2" t="inlineStr">
        <is>
          <t>Med</t>
        </is>
      </c>
    </row>
    <row r="3">
      <c r="A3" s="2" t="inlineStr">
        <is>
          <t>Decentralized / Web3 Data &amp; Compute</t>
        </is>
      </c>
      <c r="B3" s="2" t="inlineStr">
        <is>
          <t>Decentralized AI</t>
        </is>
      </c>
      <c r="C3" s="3" t="inlineStr">
        <is>
          <t>Fetch.ai (ASI Alliance)</t>
        </is>
      </c>
      <c r="D3" s="2" t="inlineStr">
        <is>
          <t>Direct competitor</t>
        </is>
      </c>
      <c r="E3" s="2" t="n">
        <v>1</v>
      </c>
      <c r="F3" s="2" t="inlineStr">
        <is>
          <t>Active; Ocean left this merger Oct 2025</t>
        </is>
      </c>
      <c r="G3" s="2" t="inlineStr">
        <is>
          <t>Company</t>
        </is>
      </c>
      <c r="H3" s="2" t="inlineStr">
        <is>
          <t>n/v</t>
        </is>
      </c>
      <c r="I3" s="2" t="inlineStr">
        <is>
          <t>~87</t>
        </is>
      </c>
      <c r="J3" s="2" t="inlineStr">
        <is>
          <t>ASI Alliance</t>
        </is>
      </c>
      <c r="K3" s="2" t="inlineStr">
        <is>
          <t>-</t>
        </is>
      </c>
      <c r="L3" s="2" t="n">
        <v>4</v>
      </c>
      <c r="M3" s="2" t="n">
        <v>3</v>
      </c>
      <c r="N3" s="2" t="n">
        <v>4</v>
      </c>
      <c r="O3" s="2" t="n">
        <v>2</v>
      </c>
      <c r="P3" s="2" t="n">
        <v>4</v>
      </c>
      <c r="Q3" s="2" t="n">
        <v>3</v>
      </c>
      <c r="R3" s="2" t="n">
        <v>3.35</v>
      </c>
      <c r="S3" s="2" t="n">
        <v>67</v>
      </c>
      <c r="T3" s="2" t="inlineStr">
        <is>
          <t>https://fetch.ai/</t>
        </is>
      </c>
      <c r="U3" s="2" t="inlineStr">
        <is>
          <t>2026-07-28</t>
        </is>
      </c>
      <c r="V3" s="2" t="inlineStr">
        <is>
          <t>Low</t>
        </is>
      </c>
    </row>
    <row r="4">
      <c r="A4" s="2" t="inlineStr">
        <is>
          <t>Decentralized / Web3 Data &amp; Compute</t>
        </is>
      </c>
      <c r="B4" s="2" t="inlineStr">
        <is>
          <t>Web3 Compute</t>
        </is>
      </c>
      <c r="C4" s="3" t="inlineStr">
        <is>
          <t>iExec</t>
        </is>
      </c>
      <c r="D4" s="2" t="inlineStr">
        <is>
          <t>Direct competitor</t>
        </is>
      </c>
      <c r="E4" s="2" t="n">
        <v>1</v>
      </c>
      <c r="F4" s="2" t="inlineStr">
        <is>
          <t>Active (Lyon, FR)</t>
        </is>
      </c>
      <c r="G4" s="2" t="inlineStr">
        <is>
          <t>Company</t>
        </is>
      </c>
      <c r="H4" s="2" t="inlineStr">
        <is>
          <t>~4,300</t>
        </is>
      </c>
      <c r="I4" s="2" t="inlineStr">
        <is>
          <t>~71</t>
        </is>
      </c>
      <c r="J4" s="2" t="inlineStr">
        <is>
          <t>-</t>
        </is>
      </c>
      <c r="K4" s="2" t="inlineStr">
        <is>
          <t>-</t>
        </is>
      </c>
      <c r="L4" s="2" t="n">
        <v>5</v>
      </c>
      <c r="M4" s="2" t="n">
        <v>4</v>
      </c>
      <c r="N4" s="2" t="n">
        <v>3</v>
      </c>
      <c r="O4" s="2" t="n">
        <v>3</v>
      </c>
      <c r="P4" s="2" t="n">
        <v>3</v>
      </c>
      <c r="Q4" s="2" t="n">
        <v>4</v>
      </c>
      <c r="R4" s="2" t="n">
        <v>3.85</v>
      </c>
      <c r="S4" s="2" t="n">
        <v>77</v>
      </c>
      <c r="T4" s="2" t="inlineStr">
        <is>
          <t>https://iex.ec/</t>
        </is>
      </c>
      <c r="U4" s="2" t="inlineStr">
        <is>
          <t>2026-07-28</t>
        </is>
      </c>
      <c r="V4" s="2" t="inlineStr">
        <is>
          <t>Med</t>
        </is>
      </c>
    </row>
    <row r="5">
      <c r="A5" s="2" t="inlineStr">
        <is>
          <t>Decentralized / Web3 Data &amp; Compute</t>
        </is>
      </c>
      <c r="B5" s="2" t="inlineStr">
        <is>
          <t>Programmable Privacy</t>
        </is>
      </c>
      <c r="C5" s="3" t="inlineStr">
        <is>
          <t>Secret Network</t>
        </is>
      </c>
      <c r="D5" s="2" t="inlineStr">
        <is>
          <t>Direct competitor</t>
        </is>
      </c>
      <c r="E5" s="2" t="n">
        <v>1</v>
      </c>
      <c r="F5" s="2" t="inlineStr">
        <is>
          <t>Active; pivoting to SecretAI</t>
        </is>
      </c>
      <c r="G5" s="2" t="inlineStr">
        <is>
          <t>Company</t>
        </is>
      </c>
      <c r="H5" s="2" t="inlineStr">
        <is>
          <t>~1,170</t>
        </is>
      </c>
      <c r="I5" s="2" t="inlineStr">
        <is>
          <t>11-50</t>
        </is>
      </c>
      <c r="J5" s="2" t="inlineStr">
        <is>
          <t>-</t>
        </is>
      </c>
      <c r="K5" s="2" t="inlineStr">
        <is>
          <t>-</t>
        </is>
      </c>
      <c r="L5" s="2" t="n">
        <v>4</v>
      </c>
      <c r="M5" s="2" t="n">
        <v>3</v>
      </c>
      <c r="N5" s="2" t="n">
        <v>2</v>
      </c>
      <c r="O5" s="2" t="n">
        <v>2</v>
      </c>
      <c r="P5" s="2" t="n">
        <v>3</v>
      </c>
      <c r="Q5" s="2" t="n">
        <v>4</v>
      </c>
      <c r="R5" s="2" t="n">
        <v>3.1</v>
      </c>
      <c r="S5" s="2" t="n">
        <v>62</v>
      </c>
      <c r="T5" s="2" t="inlineStr">
        <is>
          <t>https://scrt.network/</t>
        </is>
      </c>
      <c r="U5" s="2" t="inlineStr">
        <is>
          <t>2026-07-28</t>
        </is>
      </c>
      <c r="V5" s="2" t="inlineStr">
        <is>
          <t>Med</t>
        </is>
      </c>
    </row>
    <row r="6">
      <c r="A6" s="2" t="inlineStr">
        <is>
          <t>Decentralized / Web3 Data &amp; Compute</t>
        </is>
      </c>
      <c r="B6" s="2" t="inlineStr">
        <is>
          <t>Real-Time Data</t>
        </is>
      </c>
      <c r="C6" s="3" t="inlineStr">
        <is>
          <t>Streamr</t>
        </is>
      </c>
      <c r="D6" s="2" t="inlineStr">
        <is>
          <t>Direct competitor</t>
        </is>
      </c>
      <c r="E6" s="2" t="n">
        <v>1</v>
      </c>
      <c r="F6" s="2" t="inlineStr">
        <is>
          <t>Active; resourcing pressure flagged</t>
        </is>
      </c>
      <c r="G6" s="2" t="inlineStr">
        <is>
          <t>Company</t>
        </is>
      </c>
      <c r="H6" s="2" t="inlineStr">
        <is>
          <t>~8,400</t>
        </is>
      </c>
      <c r="I6" s="2" t="inlineStr">
        <is>
          <t>~20</t>
        </is>
      </c>
      <c r="J6" s="2" t="inlineStr">
        <is>
          <t>-</t>
        </is>
      </c>
      <c r="K6" s="2" t="inlineStr">
        <is>
          <t>-</t>
        </is>
      </c>
      <c r="L6" s="2" t="n">
        <v>4</v>
      </c>
      <c r="M6" s="2" t="n">
        <v>3</v>
      </c>
      <c r="N6" s="2" t="n">
        <v>2</v>
      </c>
      <c r="O6" s="2" t="n">
        <v>3</v>
      </c>
      <c r="P6" s="2" t="n">
        <v>3</v>
      </c>
      <c r="Q6" s="2" t="n">
        <v>5</v>
      </c>
      <c r="R6" s="2" t="n">
        <v>3.4</v>
      </c>
      <c r="S6" s="2" t="n">
        <v>68</v>
      </c>
      <c r="T6" s="2" t="inlineStr">
        <is>
          <t>https://streamr.network/</t>
        </is>
      </c>
      <c r="U6" s="2" t="inlineStr">
        <is>
          <t>2026-07-28</t>
        </is>
      </c>
      <c r="V6" s="2" t="inlineStr">
        <is>
          <t>Med</t>
        </is>
      </c>
    </row>
    <row r="7">
      <c r="A7" s="2" t="inlineStr">
        <is>
          <t>Decentralized / Web3 Data &amp; Compute</t>
        </is>
      </c>
      <c r="B7" s="2" t="inlineStr">
        <is>
          <t>Confidential AI Compute</t>
        </is>
      </c>
      <c r="C7" s="3" t="inlineStr">
        <is>
          <t>Phala Network</t>
        </is>
      </c>
      <c r="D7" s="2" t="inlineStr">
        <is>
          <t>Direct competitor</t>
        </is>
      </c>
      <c r="E7" s="2" t="n">
        <v>1</v>
      </c>
      <c r="F7" s="2" t="inlineStr">
        <is>
          <t>Active; commercial confidential-AI cloud</t>
        </is>
      </c>
      <c r="G7" s="2" t="inlineStr">
        <is>
          <t>Company</t>
        </is>
      </c>
      <c r="H7" s="2" t="inlineStr">
        <is>
          <t>n/v</t>
        </is>
      </c>
      <c r="I7" s="2" t="inlineStr">
        <is>
          <t>~11-28</t>
        </is>
      </c>
      <c r="J7" s="2" t="inlineStr">
        <is>
          <t>-</t>
        </is>
      </c>
      <c r="K7" s="2" t="inlineStr">
        <is>
          <t>-</t>
        </is>
      </c>
      <c r="L7" s="2" t="n">
        <v>5</v>
      </c>
      <c r="M7" s="2" t="n">
        <v>5</v>
      </c>
      <c r="N7" s="2" t="n">
        <v>3</v>
      </c>
      <c r="O7" s="2" t="n">
        <v>3</v>
      </c>
      <c r="P7" s="2" t="n">
        <v>3</v>
      </c>
      <c r="Q7" s="2" t="n">
        <v>5</v>
      </c>
      <c r="R7" s="2" t="n">
        <v>4.2</v>
      </c>
      <c r="S7" s="2" t="n">
        <v>84</v>
      </c>
      <c r="T7" s="2" t="inlineStr">
        <is>
          <t>https://phala.network/</t>
        </is>
      </c>
      <c r="U7" s="2" t="inlineStr">
        <is>
          <t>2026-07-28</t>
        </is>
      </c>
      <c r="V7" s="2" t="inlineStr">
        <is>
          <t>Med</t>
        </is>
      </c>
    </row>
    <row r="8">
      <c r="A8" s="2" t="inlineStr">
        <is>
          <t>Data Spaces &amp; EU Sovereignty</t>
        </is>
      </c>
      <c r="B8" s="2" t="inlineStr">
        <is>
          <t>Data Space Infra</t>
        </is>
      </c>
      <c r="C8" s="3" t="inlineStr">
        <is>
          <t>Advaneo</t>
        </is>
      </c>
      <c r="D8" s="2" t="inlineStr">
        <is>
          <t>Direct competitor</t>
        </is>
      </c>
      <c r="E8" s="2" t="n">
        <v>1</v>
      </c>
      <c r="F8" s="2" t="inlineStr">
        <is>
          <t>Commercial (DE); IDS use-case #1</t>
        </is>
      </c>
      <c r="G8" s="2" t="inlineStr">
        <is>
          <t>Company</t>
        </is>
      </c>
      <c r="H8" s="2" t="inlineStr">
        <is>
          <t>~1,200</t>
        </is>
      </c>
      <c r="I8" s="2" t="inlineStr">
        <is>
          <t>2-10</t>
        </is>
      </c>
      <c r="J8" s="2" t="inlineStr">
        <is>
          <t>-</t>
        </is>
      </c>
      <c r="K8" s="2" t="inlineStr">
        <is>
          <t>-</t>
        </is>
      </c>
      <c r="L8" s="2" t="n">
        <v>5</v>
      </c>
      <c r="M8" s="2" t="n">
        <v>3</v>
      </c>
      <c r="N8" s="2" t="n">
        <v>2</v>
      </c>
      <c r="O8" s="2" t="n">
        <v>4</v>
      </c>
      <c r="P8" s="2" t="n">
        <v>2</v>
      </c>
      <c r="Q8" s="2" t="n">
        <v>4</v>
      </c>
      <c r="R8" s="2" t="n">
        <v>3.55</v>
      </c>
      <c r="S8" s="2" t="n">
        <v>71</v>
      </c>
      <c r="T8" s="2" t="inlineStr">
        <is>
          <t>https://www.advaneo.de</t>
        </is>
      </c>
      <c r="U8" s="2" t="inlineStr">
        <is>
          <t>2026-07-28</t>
        </is>
      </c>
      <c r="V8" s="2" t="inlineStr">
        <is>
          <t>Med</t>
        </is>
      </c>
    </row>
    <row r="9">
      <c r="A9" s="2" t="inlineStr">
        <is>
          <t>Data Spaces &amp; EU Sovereignty</t>
        </is>
      </c>
      <c r="B9" s="2" t="inlineStr">
        <is>
          <t>Data Exchange</t>
        </is>
      </c>
      <c r="C9" s="3" t="inlineStr">
        <is>
          <t>Dawex</t>
        </is>
      </c>
      <c r="D9" s="2" t="inlineStr">
        <is>
          <t>Direct competitor</t>
        </is>
      </c>
      <c r="E9" s="2" t="n">
        <v>1</v>
      </c>
      <c r="F9" s="2" t="inlineStr">
        <is>
          <t>Commercial (FR); Nemetschek-backed</t>
        </is>
      </c>
      <c r="G9" s="2" t="inlineStr">
        <is>
          <t>Company</t>
        </is>
      </c>
      <c r="H9" s="2" t="inlineStr">
        <is>
          <t>~4,300</t>
        </is>
      </c>
      <c r="I9" s="2" t="inlineStr">
        <is>
          <t>n/v</t>
        </is>
      </c>
      <c r="J9" s="2" t="inlineStr">
        <is>
          <t>-</t>
        </is>
      </c>
      <c r="K9" s="2" t="inlineStr">
        <is>
          <t>-</t>
        </is>
      </c>
      <c r="L9" s="2" t="n">
        <v>5</v>
      </c>
      <c r="M9" s="2" t="n">
        <v>4</v>
      </c>
      <c r="N9" s="2" t="n">
        <v>3</v>
      </c>
      <c r="O9" s="2" t="n">
        <v>4</v>
      </c>
      <c r="P9" s="2" t="n">
        <v>3</v>
      </c>
      <c r="Q9" s="2" t="n">
        <v>5</v>
      </c>
      <c r="R9" s="2" t="n">
        <v>4.15</v>
      </c>
      <c r="S9" s="2" t="n">
        <v>83</v>
      </c>
      <c r="T9" s="2" t="inlineStr">
        <is>
          <t>https://www.dawex.com</t>
        </is>
      </c>
      <c r="U9" s="2" t="inlineStr">
        <is>
          <t>2026-07-28</t>
        </is>
      </c>
      <c r="V9" s="2" t="inlineStr">
        <is>
          <t>Med</t>
        </is>
      </c>
    </row>
    <row r="10">
      <c r="A10" s="4" t="inlineStr">
        <is>
          <t>Data Spaces &amp; EU Sovereignty</t>
        </is>
      </c>
      <c r="B10" s="4" t="inlineStr">
        <is>
          <t>Sovereign Cloud</t>
        </is>
      </c>
      <c r="C10" s="5" t="inlineStr">
        <is>
          <t>IONOS SE</t>
        </is>
      </c>
      <c r="D10" s="4" t="inlineStr">
        <is>
          <t>Messaging reference</t>
        </is>
      </c>
      <c r="E10" s="4" t="n">
        <v>0.5</v>
      </c>
      <c r="F10" s="4" t="inlineStr">
        <is>
          <t>Public; Europe's #1 SMB host</t>
        </is>
      </c>
      <c r="G10" s="4" t="inlineStr">
        <is>
          <t>Company</t>
        </is>
      </c>
      <c r="H10" s="4" t="inlineStr">
        <is>
          <t>~76,000</t>
        </is>
      </c>
      <c r="I10" s="4" t="inlineStr">
        <is>
          <t>~2,700</t>
        </is>
      </c>
      <c r="J10" s="4" t="inlineStr">
        <is>
          <t>-</t>
        </is>
      </c>
      <c r="K10" s="4" t="inlineStr">
        <is>
          <t>-</t>
        </is>
      </c>
      <c r="L10" s="4" t="n">
        <v>3</v>
      </c>
      <c r="M10" s="4" t="n">
        <v>4</v>
      </c>
      <c r="N10" s="4" t="n">
        <v>5</v>
      </c>
      <c r="O10" s="4" t="n">
        <v>4</v>
      </c>
      <c r="P10" s="4" t="n">
        <v>3</v>
      </c>
      <c r="Q10" s="4" t="n">
        <v>4</v>
      </c>
      <c r="R10" s="4" t="n">
        <v>3.8</v>
      </c>
      <c r="S10" s="4" t="n">
        <v>38</v>
      </c>
      <c r="T10" s="4" t="inlineStr">
        <is>
          <t>https://www.ionos.com</t>
        </is>
      </c>
      <c r="U10" s="4" t="inlineStr">
        <is>
          <t>2026-07-28</t>
        </is>
      </c>
      <c r="V10" s="4" t="inlineStr">
        <is>
          <t>Med</t>
        </is>
      </c>
    </row>
    <row r="11">
      <c r="A11" s="2" t="inlineStr">
        <is>
          <t>Data Spaces &amp; EU Sovereignty</t>
        </is>
      </c>
      <c r="B11" s="2" t="inlineStr">
        <is>
          <t>EDC Connector</t>
        </is>
      </c>
      <c r="C11" s="3" t="inlineStr">
        <is>
          <t>Sovity</t>
        </is>
      </c>
      <c r="D11" s="2" t="inlineStr">
        <is>
          <t>Direct competitor</t>
        </is>
      </c>
      <c r="E11" s="2" t="n">
        <v>1</v>
      </c>
      <c r="F11" s="2" t="inlineStr">
        <is>
          <t>Commercial (DE); Extended EDC Connector</t>
        </is>
      </c>
      <c r="G11" s="2" t="inlineStr">
        <is>
          <t>Company</t>
        </is>
      </c>
      <c r="H11" s="2" t="inlineStr">
        <is>
          <t>~1,900</t>
        </is>
      </c>
      <c r="I11" s="2" t="inlineStr">
        <is>
          <t>~21</t>
        </is>
      </c>
      <c r="J11" s="2" t="inlineStr">
        <is>
          <t>-</t>
        </is>
      </c>
      <c r="K11" s="2" t="inlineStr">
        <is>
          <t>-</t>
        </is>
      </c>
      <c r="L11" s="2" t="n">
        <v>5</v>
      </c>
      <c r="M11" s="2" t="n">
        <v>4</v>
      </c>
      <c r="N11" s="2" t="n">
        <v>2</v>
      </c>
      <c r="O11" s="2" t="n">
        <v>4</v>
      </c>
      <c r="P11" s="2" t="n">
        <v>3</v>
      </c>
      <c r="Q11" s="2" t="n">
        <v>5</v>
      </c>
      <c r="R11" s="2" t="n">
        <v>4</v>
      </c>
      <c r="S11" s="2" t="n">
        <v>80</v>
      </c>
      <c r="T11" s="2" t="inlineStr">
        <is>
          <t>https://www.sovity.de</t>
        </is>
      </c>
      <c r="U11" s="2" t="inlineStr">
        <is>
          <t>2026-07-28</t>
        </is>
      </c>
      <c r="V11" s="2" t="inlineStr">
        <is>
          <t>Med</t>
        </is>
      </c>
    </row>
    <row r="12">
      <c r="A12" s="2" t="inlineStr">
        <is>
          <t>Data Spaces &amp; EU Sovereignty</t>
        </is>
      </c>
      <c r="B12" s="2" t="inlineStr">
        <is>
          <t>IDS reference (research)</t>
        </is>
      </c>
      <c r="C12" s="3" t="inlineStr">
        <is>
          <t>Fraunhofer ISST (IDS)</t>
        </is>
      </c>
      <c r="D12" s="2" t="inlineStr">
        <is>
          <t>Direct competitor</t>
        </is>
      </c>
      <c r="E12" s="2" t="n">
        <v>1</v>
      </c>
      <c r="F12" s="2" t="inlineStr">
        <is>
          <t>Research institute; origin of IDS</t>
        </is>
      </c>
      <c r="G12" s="2" t="inlineStr">
        <is>
          <t>Company</t>
        </is>
      </c>
      <c r="H12" s="2" t="inlineStr">
        <is>
          <t>~2,500</t>
        </is>
      </c>
      <c r="I12" s="2" t="inlineStr">
        <is>
          <t>n/v</t>
        </is>
      </c>
      <c r="J12" s="2" t="inlineStr">
        <is>
          <t>Fraunhofer</t>
        </is>
      </c>
      <c r="K12" s="2" t="inlineStr">
        <is>
          <t>-</t>
        </is>
      </c>
      <c r="L12" s="2" t="n">
        <v>5</v>
      </c>
      <c r="M12" s="2" t="n">
        <v>4</v>
      </c>
      <c r="N12" s="2" t="n">
        <v>3</v>
      </c>
      <c r="O12" s="2" t="n">
        <v>5</v>
      </c>
      <c r="P12" s="2" t="n">
        <v>3</v>
      </c>
      <c r="Q12" s="2" t="n">
        <v>4</v>
      </c>
      <c r="R12" s="2" t="n">
        <v>4.15</v>
      </c>
      <c r="S12" s="2" t="n">
        <v>83</v>
      </c>
      <c r="T12" s="2" t="inlineStr">
        <is>
          <t>https://www.isst.fraunhofer.de</t>
        </is>
      </c>
      <c r="U12" s="2" t="inlineStr">
        <is>
          <t>2026-07-28</t>
        </is>
      </c>
      <c r="V12" s="2" t="inlineStr">
        <is>
          <t>Med</t>
        </is>
      </c>
    </row>
    <row r="13">
      <c r="A13" s="4" t="inlineStr">
        <is>
          <t>Data Spaces &amp; EU Sovereignty</t>
        </is>
      </c>
      <c r="B13" s="4" t="inlineStr">
        <is>
          <t>Sovereign Cloud</t>
        </is>
      </c>
      <c r="C13" s="5" t="inlineStr">
        <is>
          <t>OVHcloud</t>
        </is>
      </c>
      <c r="D13" s="4" t="inlineStr">
        <is>
          <t>Messaging reference</t>
        </is>
      </c>
      <c r="E13" s="4" t="n">
        <v>0.5</v>
      </c>
      <c r="F13" s="4" t="inlineStr">
        <is>
          <t>Public; Europe's largest indie cloud</t>
        </is>
      </c>
      <c r="G13" s="4" t="inlineStr">
        <is>
          <t>Company</t>
        </is>
      </c>
      <c r="H13" s="4" t="inlineStr">
        <is>
          <t>~293,800</t>
        </is>
      </c>
      <c r="I13" s="4" t="inlineStr">
        <is>
          <t>~3,000</t>
        </is>
      </c>
      <c r="J13" s="4" t="inlineStr">
        <is>
          <t>-</t>
        </is>
      </c>
      <c r="K13" s="4" t="inlineStr">
        <is>
          <t>-</t>
        </is>
      </c>
      <c r="L13" s="4" t="n">
        <v>3</v>
      </c>
      <c r="M13" s="4" t="n">
        <v>5</v>
      </c>
      <c r="N13" s="4" t="n">
        <v>5</v>
      </c>
      <c r="O13" s="4" t="n">
        <v>5</v>
      </c>
      <c r="P13" s="4" t="n">
        <v>4</v>
      </c>
      <c r="Q13" s="4" t="n">
        <v>4</v>
      </c>
      <c r="R13" s="4" t="n">
        <v>4.25</v>
      </c>
      <c r="S13" s="4" t="n">
        <v>42</v>
      </c>
      <c r="T13" s="4" t="inlineStr">
        <is>
          <t>https://www.ovhcloud.com</t>
        </is>
      </c>
      <c r="U13" s="4" t="inlineStr">
        <is>
          <t>2026-07-28</t>
        </is>
      </c>
      <c r="V13" s="4" t="inlineStr">
        <is>
          <t>High</t>
        </is>
      </c>
    </row>
    <row r="14">
      <c r="A14" s="6" t="inlineStr">
        <is>
          <t>Data Marketplaces, Monetization &amp; Clean Rooms</t>
        </is>
      </c>
      <c r="B14" s="6" t="inlineStr">
        <is>
          <t>Data Marketplace</t>
        </is>
      </c>
      <c r="C14" s="7" t="inlineStr">
        <is>
          <t>AWS Data Exchange</t>
        </is>
      </c>
      <c r="D14" s="6" t="inlineStr">
        <is>
          <t>Ecosystem platform</t>
        </is>
      </c>
      <c r="E14" s="6" t="n">
        <v>0.3</v>
      </c>
      <c r="F14" s="6" t="inlineStr">
        <is>
          <t>Sub-product of AWS</t>
        </is>
      </c>
      <c r="G14" s="6" t="inlineStr">
        <is>
          <t>Product-of-parent</t>
        </is>
      </c>
      <c r="H14" s="6" t="inlineStr">
        <is>
          <t>n/a</t>
        </is>
      </c>
      <c r="I14" s="6" t="inlineStr">
        <is>
          <t>n/a</t>
        </is>
      </c>
      <c r="J14" s="6" t="inlineStr">
        <is>
          <t>Amazon (AWS)</t>
        </is>
      </c>
      <c r="K14" s="6" t="inlineStr">
        <is>
          <t>~10,900,000</t>
        </is>
      </c>
      <c r="L14" s="6" t="n">
        <v>3</v>
      </c>
      <c r="M14" s="6" t="n">
        <v>3</v>
      </c>
      <c r="N14" s="6" t="n">
        <v>5</v>
      </c>
      <c r="O14" s="6" t="n">
        <v>4</v>
      </c>
      <c r="P14" s="6" t="n">
        <v>4</v>
      </c>
      <c r="Q14" s="6" t="n">
        <v>3</v>
      </c>
      <c r="R14" s="6" t="n">
        <v>3.55</v>
      </c>
      <c r="S14" s="6" t="n">
        <v>21</v>
      </c>
      <c r="T14" s="6" t="inlineStr">
        <is>
          <t>https://aws.amazon.com/data-exchange</t>
        </is>
      </c>
      <c r="U14" s="6" t="inlineStr">
        <is>
          <t>2026-07-28</t>
        </is>
      </c>
      <c r="V14" s="6" t="inlineStr">
        <is>
          <t>Med</t>
        </is>
      </c>
    </row>
    <row r="15">
      <c r="A15" s="6" t="inlineStr">
        <is>
          <t>Data Marketplaces, Monetization &amp; Clean Rooms</t>
        </is>
      </c>
      <c r="B15" s="6" t="inlineStr">
        <is>
          <t>Data Marketplace</t>
        </is>
      </c>
      <c r="C15" s="7" t="inlineStr">
        <is>
          <t>Databricks Marketplace</t>
        </is>
      </c>
      <c r="D15" s="6" t="inlineStr">
        <is>
          <t>Ecosystem platform</t>
        </is>
      </c>
      <c r="E15" s="6" t="n">
        <v>0.3</v>
      </c>
      <c r="F15" s="6" t="inlineStr">
        <is>
          <t>Sub-product of Databricks</t>
        </is>
      </c>
      <c r="G15" s="6" t="inlineStr">
        <is>
          <t>Product-of-parent</t>
        </is>
      </c>
      <c r="H15" s="6" t="inlineStr">
        <is>
          <t>n/a</t>
        </is>
      </c>
      <c r="I15" s="6" t="inlineStr">
        <is>
          <t>n/a</t>
        </is>
      </c>
      <c r="J15" s="6" t="inlineStr">
        <is>
          <t>Databricks</t>
        </is>
      </c>
      <c r="K15" s="6" t="inlineStr">
        <is>
          <t>~1,280,000</t>
        </is>
      </c>
      <c r="L15" s="6" t="n">
        <v>3</v>
      </c>
      <c r="M15" s="6" t="n">
        <v>4</v>
      </c>
      <c r="N15" s="6" t="n">
        <v>5</v>
      </c>
      <c r="O15" s="6" t="n">
        <v>4</v>
      </c>
      <c r="P15" s="6" t="n">
        <v>4</v>
      </c>
      <c r="Q15" s="6" t="n">
        <v>4</v>
      </c>
      <c r="R15" s="6" t="n">
        <v>3.9</v>
      </c>
      <c r="S15" s="6" t="n">
        <v>23</v>
      </c>
      <c r="T15" s="6" t="inlineStr">
        <is>
          <t>https://www.databricks.com/product/marketplace</t>
        </is>
      </c>
      <c r="U15" s="6" t="inlineStr">
        <is>
          <t>2026-07-28</t>
        </is>
      </c>
      <c r="V15" s="6" t="inlineStr">
        <is>
          <t>Med</t>
        </is>
      </c>
    </row>
    <row r="16">
      <c r="A16" s="6" t="inlineStr">
        <is>
          <t>Data Marketplaces, Monetization &amp; Clean Rooms</t>
        </is>
      </c>
      <c r="B16" s="6" t="inlineStr">
        <is>
          <t>Data Marketplace</t>
        </is>
      </c>
      <c r="C16" s="7" t="inlineStr">
        <is>
          <t>Snowflake Data Marketplace</t>
        </is>
      </c>
      <c r="D16" s="6" t="inlineStr">
        <is>
          <t>Ecosystem platform</t>
        </is>
      </c>
      <c r="E16" s="6" t="n">
        <v>0.3</v>
      </c>
      <c r="F16" s="6" t="inlineStr">
        <is>
          <t>Sub-product of Snowflake</t>
        </is>
      </c>
      <c r="G16" s="6" t="inlineStr">
        <is>
          <t>Product-of-parent</t>
        </is>
      </c>
      <c r="H16" s="6" t="inlineStr">
        <is>
          <t>n/a</t>
        </is>
      </c>
      <c r="I16" s="6" t="inlineStr">
        <is>
          <t>n/a</t>
        </is>
      </c>
      <c r="J16" s="6" t="inlineStr">
        <is>
          <t>Snowflake</t>
        </is>
      </c>
      <c r="K16" s="6" t="inlineStr">
        <is>
          <t>~1,340,000</t>
        </is>
      </c>
      <c r="L16" s="6" t="n">
        <v>3</v>
      </c>
      <c r="M16" s="6" t="n">
        <v>4</v>
      </c>
      <c r="N16" s="6" t="n">
        <v>5</v>
      </c>
      <c r="O16" s="6" t="n">
        <v>4</v>
      </c>
      <c r="P16" s="6" t="n">
        <v>4</v>
      </c>
      <c r="Q16" s="6" t="n">
        <v>4</v>
      </c>
      <c r="R16" s="6" t="n">
        <v>3.9</v>
      </c>
      <c r="S16" s="6" t="n">
        <v>23</v>
      </c>
      <c r="T16" s="6" t="inlineStr">
        <is>
          <t>https://www.snowflake.com/en/data-cloud/marketplace</t>
        </is>
      </c>
      <c r="U16" s="6" t="inlineStr">
        <is>
          <t>2026-07-28</t>
        </is>
      </c>
      <c r="V16" s="6" t="inlineStr">
        <is>
          <t>Med</t>
        </is>
      </c>
    </row>
    <row r="17">
      <c r="A17" s="2" t="inlineStr">
        <is>
          <t>Data Marketplaces, Monetization &amp; Clean Rooms</t>
        </is>
      </c>
      <c r="B17" s="2" t="inlineStr">
        <is>
          <t>Data Monetization</t>
        </is>
      </c>
      <c r="C17" s="3" t="inlineStr">
        <is>
          <t>Narrative.io</t>
        </is>
      </c>
      <c r="D17" s="2" t="inlineStr">
        <is>
          <t>Direct competitor</t>
        </is>
      </c>
      <c r="E17" s="2" t="n">
        <v>1</v>
      </c>
      <c r="F17" s="2" t="inlineStr">
        <is>
          <t>Standalone; closest data-monetization peer</t>
        </is>
      </c>
      <c r="G17" s="2" t="inlineStr">
        <is>
          <t>Company</t>
        </is>
      </c>
      <c r="H17" s="2" t="inlineStr">
        <is>
          <t>~5,500</t>
        </is>
      </c>
      <c r="I17" s="2" t="inlineStr">
        <is>
          <t>~33</t>
        </is>
      </c>
      <c r="J17" s="2" t="inlineStr">
        <is>
          <t>-</t>
        </is>
      </c>
      <c r="K17" s="2" t="inlineStr">
        <is>
          <t>-</t>
        </is>
      </c>
      <c r="L17" s="2" t="n">
        <v>5</v>
      </c>
      <c r="M17" s="2" t="n">
        <v>4</v>
      </c>
      <c r="N17" s="2" t="n">
        <v>2</v>
      </c>
      <c r="O17" s="2" t="n">
        <v>2</v>
      </c>
      <c r="P17" s="2" t="n">
        <v>2</v>
      </c>
      <c r="Q17" s="2" t="n">
        <v>5</v>
      </c>
      <c r="R17" s="2" t="n">
        <v>3.6</v>
      </c>
      <c r="S17" s="2" t="n">
        <v>72</v>
      </c>
      <c r="T17" s="2" t="inlineStr">
        <is>
          <t>https://www.narrative.io</t>
        </is>
      </c>
      <c r="U17" s="2" t="inlineStr">
        <is>
          <t>2026-07-28</t>
        </is>
      </c>
      <c r="V17" s="2" t="inlineStr">
        <is>
          <t>Med</t>
        </is>
      </c>
    </row>
    <row r="18">
      <c r="A18" s="4" t="inlineStr">
        <is>
          <t>Data Marketplaces, Monetization &amp; Clean Rooms</t>
        </is>
      </c>
      <c r="B18" s="4" t="inlineStr">
        <is>
          <t>Clean Room</t>
        </is>
      </c>
      <c r="C18" s="5" t="inlineStr">
        <is>
          <t>Habu (by LiveRamp)</t>
        </is>
      </c>
      <c r="D18" s="4" t="inlineStr">
        <is>
          <t>Messaging reference</t>
        </is>
      </c>
      <c r="E18" s="4" t="n">
        <v>0.5</v>
      </c>
      <c r="F18" s="4" t="inlineStr">
        <is>
          <t>Acquired by LiveRamp (2024)</t>
        </is>
      </c>
      <c r="G18" s="4" t="inlineStr">
        <is>
          <t>Acquired</t>
        </is>
      </c>
      <c r="H18" s="4" t="inlineStr">
        <is>
          <t>~4,700</t>
        </is>
      </c>
      <c r="I18" s="4" t="inlineStr">
        <is>
          <t>n/v</t>
        </is>
      </c>
      <c r="J18" s="4" t="inlineStr">
        <is>
          <t>LiveRamp</t>
        </is>
      </c>
      <c r="K18" s="4" t="inlineStr">
        <is>
          <t>~120,000</t>
        </is>
      </c>
      <c r="L18" s="4" t="n">
        <v>3</v>
      </c>
      <c r="M18" s="4" t="n">
        <v>3</v>
      </c>
      <c r="N18" s="4" t="n">
        <v>3</v>
      </c>
      <c r="O18" s="4" t="n">
        <v>3</v>
      </c>
      <c r="P18" s="4" t="n">
        <v>2</v>
      </c>
      <c r="Q18" s="4" t="n">
        <v>4</v>
      </c>
      <c r="R18" s="4" t="n">
        <v>3.05</v>
      </c>
      <c r="S18" s="4" t="n">
        <v>30</v>
      </c>
      <c r="T18" s="4" t="inlineStr">
        <is>
          <t>https://habu.com/</t>
        </is>
      </c>
      <c r="U18" s="4" t="inlineStr">
        <is>
          <t>2026-07-28</t>
        </is>
      </c>
      <c r="V18" s="4" t="inlineStr">
        <is>
          <t>Low</t>
        </is>
      </c>
    </row>
    <row r="19">
      <c r="A19" s="6" t="inlineStr">
        <is>
          <t>Data Marketplaces, Monetization &amp; Clean Rooms</t>
        </is>
      </c>
      <c r="B19" s="6" t="inlineStr">
        <is>
          <t>Clean Room</t>
        </is>
      </c>
      <c r="C19" s="7" t="inlineStr">
        <is>
          <t>Snowflake Data Clean Rooms</t>
        </is>
      </c>
      <c r="D19" s="6" t="inlineStr">
        <is>
          <t>Ecosystem platform</t>
        </is>
      </c>
      <c r="E19" s="6" t="n">
        <v>0.3</v>
      </c>
      <c r="F19" s="6" t="inlineStr">
        <is>
          <t>Product line in Snowflake</t>
        </is>
      </c>
      <c r="G19" s="6" t="inlineStr">
        <is>
          <t>Product-of-parent</t>
        </is>
      </c>
      <c r="H19" s="6" t="inlineStr">
        <is>
          <t>n/a</t>
        </is>
      </c>
      <c r="I19" s="6" t="inlineStr">
        <is>
          <t>n/a</t>
        </is>
      </c>
      <c r="J19" s="6" t="inlineStr">
        <is>
          <t>Snowflake</t>
        </is>
      </c>
      <c r="K19" s="6" t="inlineStr">
        <is>
          <t>~1,340,000</t>
        </is>
      </c>
      <c r="L19" s="6" t="n">
        <v>3</v>
      </c>
      <c r="M19" s="6" t="n">
        <v>4</v>
      </c>
      <c r="N19" s="6" t="n">
        <v>5</v>
      </c>
      <c r="O19" s="6" t="n">
        <v>4</v>
      </c>
      <c r="P19" s="6" t="n">
        <v>4</v>
      </c>
      <c r="Q19" s="6" t="n">
        <v>4</v>
      </c>
      <c r="R19" s="6" t="n">
        <v>3.9</v>
      </c>
      <c r="S19" s="6" t="n">
        <v>23</v>
      </c>
      <c r="T19" s="6" t="inlineStr">
        <is>
          <t>https://www.snowflake.com/en/data-cloud/data-clean-rooms/</t>
        </is>
      </c>
      <c r="U19" s="6" t="inlineStr">
        <is>
          <t>2026-07-28</t>
        </is>
      </c>
      <c r="V19" s="6" t="inlineStr">
        <is>
          <t>Med</t>
        </is>
      </c>
    </row>
    <row r="20">
      <c r="A20" s="8" t="inlineStr">
        <is>
          <t>Privacy-Preserving Computation</t>
        </is>
      </c>
      <c r="B20" s="8" t="inlineStr">
        <is>
          <t>FHE / PETs</t>
        </is>
      </c>
      <c r="C20" s="9" t="inlineStr">
        <is>
          <t>Duality Technologies</t>
        </is>
      </c>
      <c r="D20" s="8" t="inlineStr">
        <is>
          <t>Technical alternative</t>
        </is>
      </c>
      <c r="E20" s="8" t="n">
        <v>0.7</v>
      </c>
      <c r="F20" s="8" t="inlineStr">
        <is>
          <t>Active; DARPA-tied</t>
        </is>
      </c>
      <c r="G20" s="8" t="inlineStr">
        <is>
          <t>Company</t>
        </is>
      </c>
      <c r="H20" s="8" t="inlineStr">
        <is>
          <t>~3,700</t>
        </is>
      </c>
      <c r="I20" s="8" t="inlineStr">
        <is>
          <t>~42</t>
        </is>
      </c>
      <c r="J20" s="8" t="inlineStr">
        <is>
          <t>-</t>
        </is>
      </c>
      <c r="K20" s="8" t="inlineStr">
        <is>
          <t>-</t>
        </is>
      </c>
      <c r="L20" s="8" t="n">
        <v>4</v>
      </c>
      <c r="M20" s="8" t="n">
        <v>4</v>
      </c>
      <c r="N20" s="8" t="n">
        <v>3</v>
      </c>
      <c r="O20" s="8" t="n">
        <v>4</v>
      </c>
      <c r="P20" s="8" t="n">
        <v>3</v>
      </c>
      <c r="Q20" s="8" t="n">
        <v>5</v>
      </c>
      <c r="R20" s="8" t="n">
        <v>3.9</v>
      </c>
      <c r="S20" s="8" t="n">
        <v>55</v>
      </c>
      <c r="T20" s="8" t="inlineStr">
        <is>
          <t>https://dualitytech.com/</t>
        </is>
      </c>
      <c r="U20" s="8" t="inlineStr">
        <is>
          <t>2026-07-28</t>
        </is>
      </c>
      <c r="V20" s="8" t="inlineStr">
        <is>
          <t>Med</t>
        </is>
      </c>
    </row>
    <row r="21">
      <c r="A21" s="8" t="inlineStr">
        <is>
          <t>Privacy-Preserving Computation</t>
        </is>
      </c>
      <c r="B21" s="8" t="inlineStr">
        <is>
          <t>SMPC / FHE</t>
        </is>
      </c>
      <c r="C21" s="9" t="inlineStr">
        <is>
          <t>Inpher</t>
        </is>
      </c>
      <c r="D21" s="8" t="inlineStr">
        <is>
          <t>Technical alternative</t>
        </is>
      </c>
      <c r="E21" s="8" t="n">
        <v>0.7</v>
      </c>
      <c r="F21" s="8" t="inlineStr">
        <is>
          <t>Core tech &amp; team acquired by Arcium (2024)</t>
        </is>
      </c>
      <c r="G21" s="8" t="inlineStr">
        <is>
          <t>Acquired</t>
        </is>
      </c>
      <c r="H21" s="8" t="inlineStr">
        <is>
          <t>~5,400</t>
        </is>
      </c>
      <c r="I21" s="8" t="inlineStr">
        <is>
          <t>~14-18</t>
        </is>
      </c>
      <c r="J21" s="8" t="inlineStr">
        <is>
          <t>Arcium</t>
        </is>
      </c>
      <c r="K21" s="8" t="inlineStr">
        <is>
          <t>-</t>
        </is>
      </c>
      <c r="L21" s="8" t="n">
        <v>3</v>
      </c>
      <c r="M21" s="8" t="n">
        <v>3</v>
      </c>
      <c r="N21" s="8" t="n">
        <v>2</v>
      </c>
      <c r="O21" s="8" t="n">
        <v>3</v>
      </c>
      <c r="P21" s="8" t="n">
        <v>2</v>
      </c>
      <c r="Q21" s="8" t="n">
        <v>4</v>
      </c>
      <c r="R21" s="8" t="n">
        <v>2.9</v>
      </c>
      <c r="S21" s="8" t="n">
        <v>41</v>
      </c>
      <c r="T21" s="8" t="inlineStr">
        <is>
          <t>https://inpher.io/</t>
        </is>
      </c>
      <c r="U21" s="8" t="inlineStr">
        <is>
          <t>2026-07-28</t>
        </is>
      </c>
      <c r="V21" s="8" t="inlineStr">
        <is>
          <t>Med</t>
        </is>
      </c>
    </row>
    <row r="22">
      <c r="A22" s="8" t="inlineStr">
        <is>
          <t>Privacy-Preserving Computation</t>
        </is>
      </c>
      <c r="B22" s="8" t="inlineStr">
        <is>
          <t>PEC</t>
        </is>
      </c>
      <c r="C22" s="9" t="inlineStr">
        <is>
          <t>TripleBlind</t>
        </is>
      </c>
      <c r="D22" s="8" t="inlineStr">
        <is>
          <t>Technical alternative</t>
        </is>
      </c>
      <c r="E22" s="8" t="n">
        <v>0.7</v>
      </c>
      <c r="F22" s="8" t="inlineStr">
        <is>
          <t>UNCERTAIN - verify before citing</t>
        </is>
      </c>
      <c r="G22" s="8" t="inlineStr">
        <is>
          <t>Company</t>
        </is>
      </c>
      <c r="H22" s="8" t="inlineStr">
        <is>
          <t>~3,400</t>
        </is>
      </c>
      <c r="I22" s="8" t="inlineStr">
        <is>
          <t>39-57</t>
        </is>
      </c>
      <c r="J22" s="8" t="inlineStr">
        <is>
          <t>-</t>
        </is>
      </c>
      <c r="K22" s="8" t="inlineStr">
        <is>
          <t>-</t>
        </is>
      </c>
      <c r="L22" s="8" t="n">
        <v>3</v>
      </c>
      <c r="M22" s="8" t="n">
        <v>3</v>
      </c>
      <c r="N22" s="8" t="n">
        <v>2</v>
      </c>
      <c r="O22" s="8" t="n">
        <v>2</v>
      </c>
      <c r="P22" s="8" t="n">
        <v>2</v>
      </c>
      <c r="Q22" s="8" t="n">
        <v>2</v>
      </c>
      <c r="R22" s="8" t="n">
        <v>2.45</v>
      </c>
      <c r="S22" s="8" t="n">
        <v>34</v>
      </c>
      <c r="T22" s="8" t="inlineStr">
        <is>
          <t>https://tripleblind.com/</t>
        </is>
      </c>
      <c r="U22" s="8" t="inlineStr">
        <is>
          <t>2026-07-28</t>
        </is>
      </c>
      <c r="V22" s="8" t="inlineStr">
        <is>
          <t>Low</t>
        </is>
      </c>
    </row>
    <row r="23">
      <c r="A23" s="8" t="inlineStr">
        <is>
          <t>Privacy-Preserving Computation</t>
        </is>
      </c>
      <c r="B23" s="8" t="inlineStr">
        <is>
          <t>Confidential + DP</t>
        </is>
      </c>
      <c r="C23" s="9" t="inlineStr">
        <is>
          <t>Oblivious AI</t>
        </is>
      </c>
      <c r="D23" s="8" t="inlineStr">
        <is>
          <t>Technical alternative</t>
        </is>
      </c>
      <c r="E23" s="8" t="n">
        <v>0.7</v>
      </c>
      <c r="F23" s="8" t="inlineStr">
        <is>
          <t>Active; domain moved to oblivious.com</t>
        </is>
      </c>
      <c r="G23" s="8" t="inlineStr">
        <is>
          <t>Company</t>
        </is>
      </c>
      <c r="H23" s="8" t="inlineStr">
        <is>
          <t>n/v</t>
        </is>
      </c>
      <c r="I23" s="8" t="inlineStr">
        <is>
          <t>~33-42</t>
        </is>
      </c>
      <c r="J23" s="8" t="inlineStr">
        <is>
          <t>-</t>
        </is>
      </c>
      <c r="K23" s="8" t="inlineStr">
        <is>
          <t>-</t>
        </is>
      </c>
      <c r="L23" s="8" t="n">
        <v>4</v>
      </c>
      <c r="M23" s="8" t="n">
        <v>4</v>
      </c>
      <c r="N23" s="8" t="n">
        <v>2</v>
      </c>
      <c r="O23" s="8" t="n">
        <v>3</v>
      </c>
      <c r="P23" s="8" t="n">
        <v>2</v>
      </c>
      <c r="Q23" s="8" t="n">
        <v>4</v>
      </c>
      <c r="R23" s="8" t="n">
        <v>3.35</v>
      </c>
      <c r="S23" s="8" t="n">
        <v>47</v>
      </c>
      <c r="T23" s="8" t="inlineStr">
        <is>
          <t>https://www.oblivious.com</t>
        </is>
      </c>
      <c r="U23" s="8" t="inlineStr">
        <is>
          <t>2026-07-28</t>
        </is>
      </c>
      <c r="V23" s="8" t="inlineStr">
        <is>
          <t>Low</t>
        </is>
      </c>
    </row>
    <row r="24">
      <c r="A24" s="8" t="inlineStr">
        <is>
          <t>Privacy-Preserving Computation</t>
        </is>
      </c>
      <c r="B24" s="8" t="inlineStr">
        <is>
          <t>Differential Privacy</t>
        </is>
      </c>
      <c r="C24" s="9" t="inlineStr">
        <is>
          <t>Sarus Technologies</t>
        </is>
      </c>
      <c r="D24" s="8" t="inlineStr">
        <is>
          <t>Technical alternative</t>
        </is>
      </c>
      <c r="E24" s="8" t="n">
        <v>0.7</v>
      </c>
      <c r="F24" s="8" t="inlineStr">
        <is>
          <t>Active; YC W22</t>
        </is>
      </c>
      <c r="G24" s="8" t="inlineStr">
        <is>
          <t>Company</t>
        </is>
      </c>
      <c r="H24" s="8" t="inlineStr">
        <is>
          <t>~1,700</t>
        </is>
      </c>
      <c r="I24" s="8" t="inlineStr">
        <is>
          <t>~16</t>
        </is>
      </c>
      <c r="J24" s="8" t="inlineStr">
        <is>
          <t>-</t>
        </is>
      </c>
      <c r="K24" s="8" t="inlineStr">
        <is>
          <t>-</t>
        </is>
      </c>
      <c r="L24" s="8" t="n">
        <v>4</v>
      </c>
      <c r="M24" s="8" t="n">
        <v>4</v>
      </c>
      <c r="N24" s="8" t="n">
        <v>2</v>
      </c>
      <c r="O24" s="8" t="n">
        <v>3</v>
      </c>
      <c r="P24" s="8" t="n">
        <v>2</v>
      </c>
      <c r="Q24" s="8" t="n">
        <v>5</v>
      </c>
      <c r="R24" s="8" t="n">
        <v>3.5</v>
      </c>
      <c r="S24" s="8" t="n">
        <v>49</v>
      </c>
      <c r="T24" s="8" t="inlineStr">
        <is>
          <t>https://www.sarus.tech</t>
        </is>
      </c>
      <c r="U24" s="8" t="inlineStr">
        <is>
          <t>2026-07-28</t>
        </is>
      </c>
      <c r="V24" s="8" t="inlineStr">
        <is>
          <t>Med</t>
        </is>
      </c>
    </row>
    <row r="25">
      <c r="A25" s="8" t="inlineStr">
        <is>
          <t>Privacy-Preserving Computation</t>
        </is>
      </c>
      <c r="B25" s="8" t="inlineStr">
        <is>
          <t>Multi-party HE</t>
        </is>
      </c>
      <c r="C25" s="9" t="inlineStr">
        <is>
          <t>Tune Insight</t>
        </is>
      </c>
      <c r="D25" s="8" t="inlineStr">
        <is>
          <t>Technical alternative</t>
        </is>
      </c>
      <c r="E25" s="8" t="n">
        <v>0.7</v>
      </c>
      <c r="F25" s="8" t="inlineStr">
        <is>
          <t>Active; EPFL spin-out</t>
        </is>
      </c>
      <c r="G25" s="8" t="inlineStr">
        <is>
          <t>Company</t>
        </is>
      </c>
      <c r="H25" s="8" t="inlineStr">
        <is>
          <t>n/v</t>
        </is>
      </c>
      <c r="I25" s="8" t="inlineStr">
        <is>
          <t>~17</t>
        </is>
      </c>
      <c r="J25" s="8" t="inlineStr">
        <is>
          <t>-</t>
        </is>
      </c>
      <c r="K25" s="8" t="inlineStr">
        <is>
          <t>-</t>
        </is>
      </c>
      <c r="L25" s="8" t="n">
        <v>4</v>
      </c>
      <c r="M25" s="8" t="n">
        <v>3</v>
      </c>
      <c r="N25" s="8" t="n">
        <v>2</v>
      </c>
      <c r="O25" s="8" t="n">
        <v>4</v>
      </c>
      <c r="P25" s="8" t="n">
        <v>2</v>
      </c>
      <c r="Q25" s="8" t="n">
        <v>4</v>
      </c>
      <c r="R25" s="8" t="n">
        <v>3.3</v>
      </c>
      <c r="S25" s="8" t="n">
        <v>46</v>
      </c>
      <c r="T25" s="8" t="inlineStr">
        <is>
          <t>https://tuneinsight.com</t>
        </is>
      </c>
      <c r="U25" s="8" t="inlineStr">
        <is>
          <t>2026-07-28</t>
        </is>
      </c>
      <c r="V25" s="8" t="inlineStr">
        <is>
          <t>Low</t>
        </is>
      </c>
    </row>
    <row r="26">
      <c r="A26" s="8" t="inlineStr">
        <is>
          <t>Federated Analytics &amp; ML</t>
        </is>
      </c>
      <c r="B26" s="8" t="inlineStr">
        <is>
          <t>Federated data science</t>
        </is>
      </c>
      <c r="C26" s="9" t="inlineStr">
        <is>
          <t>Devron</t>
        </is>
      </c>
      <c r="D26" s="8" t="inlineStr">
        <is>
          <t>Technical alternative</t>
        </is>
      </c>
      <c r="E26" s="8" t="n">
        <v>0.7</v>
      </c>
      <c r="F26" s="8" t="inlineStr">
        <is>
          <t>Commercial; ~$16.8M raised</t>
        </is>
      </c>
      <c r="G26" s="8" t="inlineStr">
        <is>
          <t>Company</t>
        </is>
      </c>
      <c r="H26" s="8" t="inlineStr">
        <is>
          <t>~2,200</t>
        </is>
      </c>
      <c r="I26" s="8" t="inlineStr">
        <is>
          <t>~14-20</t>
        </is>
      </c>
      <c r="J26" s="8" t="inlineStr">
        <is>
          <t>-</t>
        </is>
      </c>
      <c r="K26" s="8" t="inlineStr">
        <is>
          <t>-</t>
        </is>
      </c>
      <c r="L26" s="8" t="n">
        <v>4</v>
      </c>
      <c r="M26" s="8" t="n">
        <v>3</v>
      </c>
      <c r="N26" s="8" t="n">
        <v>2</v>
      </c>
      <c r="O26" s="8" t="n">
        <v>3</v>
      </c>
      <c r="P26" s="8" t="n">
        <v>2</v>
      </c>
      <c r="Q26" s="8" t="n">
        <v>4</v>
      </c>
      <c r="R26" s="8" t="n">
        <v>3.15</v>
      </c>
      <c r="S26" s="8" t="n">
        <v>44</v>
      </c>
      <c r="T26" s="8" t="inlineStr">
        <is>
          <t>https://www.devron.ai/</t>
        </is>
      </c>
      <c r="U26" s="8" t="inlineStr">
        <is>
          <t>2026-07-28</t>
        </is>
      </c>
      <c r="V26" s="8" t="inlineStr">
        <is>
          <t>Med</t>
        </is>
      </c>
    </row>
    <row r="27">
      <c r="A27" s="8" t="inlineStr">
        <is>
          <t>Federated Analytics &amp; ML</t>
        </is>
      </c>
      <c r="B27" s="8" t="inlineStr">
        <is>
          <t>Federated TRE (health)</t>
        </is>
      </c>
      <c r="C27" s="9" t="inlineStr">
        <is>
          <t>Lifebit</t>
        </is>
      </c>
      <c r="D27" s="8" t="inlineStr">
        <is>
          <t>Technical alternative</t>
        </is>
      </c>
      <c r="E27" s="8" t="n">
        <v>0.7</v>
      </c>
      <c r="F27" s="8" t="inlineStr">
        <is>
          <t>Commercial; ~$70.6M raised</t>
        </is>
      </c>
      <c r="G27" s="8" t="inlineStr">
        <is>
          <t>Company</t>
        </is>
      </c>
      <c r="H27" s="8" t="inlineStr">
        <is>
          <t>~22,000</t>
        </is>
      </c>
      <c r="I27" s="8" t="inlineStr">
        <is>
          <t>~124</t>
        </is>
      </c>
      <c r="J27" s="8" t="inlineStr">
        <is>
          <t>-</t>
        </is>
      </c>
      <c r="K27" s="8" t="inlineStr">
        <is>
          <t>-</t>
        </is>
      </c>
      <c r="L27" s="8" t="n">
        <v>4</v>
      </c>
      <c r="M27" s="8" t="n">
        <v>4</v>
      </c>
      <c r="N27" s="8" t="n">
        <v>3</v>
      </c>
      <c r="O27" s="8" t="n">
        <v>4</v>
      </c>
      <c r="P27" s="8" t="n">
        <v>3</v>
      </c>
      <c r="Q27" s="8" t="n">
        <v>5</v>
      </c>
      <c r="R27" s="8" t="n">
        <v>3.9</v>
      </c>
      <c r="S27" s="8" t="n">
        <v>55</v>
      </c>
      <c r="T27" s="8" t="inlineStr">
        <is>
          <t>https://lifebit.ai/</t>
        </is>
      </c>
      <c r="U27" s="8" t="inlineStr">
        <is>
          <t>2026-07-28</t>
        </is>
      </c>
      <c r="V27" s="8" t="inlineStr">
        <is>
          <t>Med</t>
        </is>
      </c>
    </row>
    <row r="28">
      <c r="A28" s="8" t="inlineStr">
        <is>
          <t>Federated Analytics &amp; ML</t>
        </is>
      </c>
      <c r="B28" s="8" t="inlineStr">
        <is>
          <t>Federated (life sci)</t>
        </is>
      </c>
      <c r="C28" s="9" t="inlineStr">
        <is>
          <t>Apheris</t>
        </is>
      </c>
      <c r="D28" s="8" t="inlineStr">
        <is>
          <t>Technical alternative</t>
        </is>
      </c>
      <c r="E28" s="8" t="n">
        <v>0.7</v>
      </c>
      <c r="F28" s="8" t="inlineStr">
        <is>
          <t>Commercial; $20.8M Series A</t>
        </is>
      </c>
      <c r="G28" s="8" t="inlineStr">
        <is>
          <t>Company</t>
        </is>
      </c>
      <c r="H28" s="8" t="inlineStr">
        <is>
          <t>~3,800</t>
        </is>
      </c>
      <c r="I28" s="8" t="inlineStr">
        <is>
          <t>~37</t>
        </is>
      </c>
      <c r="J28" s="8" t="inlineStr">
        <is>
          <t>-</t>
        </is>
      </c>
      <c r="K28" s="8" t="inlineStr">
        <is>
          <t>-</t>
        </is>
      </c>
      <c r="L28" s="8" t="n">
        <v>4</v>
      </c>
      <c r="M28" s="8" t="n">
        <v>4</v>
      </c>
      <c r="N28" s="8" t="n">
        <v>3</v>
      </c>
      <c r="O28" s="8" t="n">
        <v>4</v>
      </c>
      <c r="P28" s="8" t="n">
        <v>3</v>
      </c>
      <c r="Q28" s="8" t="n">
        <v>5</v>
      </c>
      <c r="R28" s="8" t="n">
        <v>3.9</v>
      </c>
      <c r="S28" s="8" t="n">
        <v>55</v>
      </c>
      <c r="T28" s="8" t="inlineStr">
        <is>
          <t>https://www.apheris.com</t>
        </is>
      </c>
      <c r="U28" s="8" t="inlineStr">
        <is>
          <t>2026-07-28</t>
        </is>
      </c>
      <c r="V28" s="8" t="inlineStr">
        <is>
          <t>Med</t>
        </is>
      </c>
    </row>
    <row r="29">
      <c r="A29" s="4" t="inlineStr">
        <is>
          <t>Federated Analytics &amp; ML</t>
        </is>
      </c>
      <c r="B29" s="4" t="inlineStr">
        <is>
          <t>FL framework (OSS)</t>
        </is>
      </c>
      <c r="C29" s="5" t="inlineStr">
        <is>
          <t>Flower (flwr.dev)</t>
        </is>
      </c>
      <c r="D29" s="4" t="inlineStr">
        <is>
          <t>Messaging reference</t>
        </is>
      </c>
      <c r="E29" s="4" t="n">
        <v>0.5</v>
      </c>
      <c r="F29" s="4" t="inlineStr">
        <is>
          <t>OSS + Flower Labs; $20M Series A</t>
        </is>
      </c>
      <c r="G29" s="4" t="inlineStr">
        <is>
          <t>Company</t>
        </is>
      </c>
      <c r="H29" s="4" t="inlineStr">
        <is>
          <t>~3,600</t>
        </is>
      </c>
      <c r="I29" s="4" t="inlineStr">
        <is>
          <t>n/v</t>
        </is>
      </c>
      <c r="J29" s="4" t="inlineStr">
        <is>
          <t>-</t>
        </is>
      </c>
      <c r="K29" s="4" t="inlineStr">
        <is>
          <t>-</t>
        </is>
      </c>
      <c r="L29" s="4" t="n">
        <v>3</v>
      </c>
      <c r="M29" s="4" t="n">
        <v>4</v>
      </c>
      <c r="N29" s="4" t="n">
        <v>3</v>
      </c>
      <c r="O29" s="4" t="n">
        <v>4</v>
      </c>
      <c r="P29" s="4" t="n">
        <v>5</v>
      </c>
      <c r="Q29" s="4" t="n">
        <v>4</v>
      </c>
      <c r="R29" s="4" t="n">
        <v>3.7</v>
      </c>
      <c r="S29" s="4" t="n">
        <v>37</v>
      </c>
      <c r="T29" s="4" t="inlineStr">
        <is>
          <t>https://flower.ai</t>
        </is>
      </c>
      <c r="U29" s="4" t="inlineStr">
        <is>
          <t>2026-07-28</t>
        </is>
      </c>
      <c r="V29" s="4" t="inlineStr">
        <is>
          <t>High</t>
        </is>
      </c>
    </row>
    <row r="30">
      <c r="A30" s="8" t="inlineStr">
        <is>
          <t>Federated Analytics &amp; ML</t>
        </is>
      </c>
      <c r="B30" s="8" t="inlineStr">
        <is>
          <t>FL SDK (OSS)</t>
        </is>
      </c>
      <c r="C30" s="9" t="inlineStr">
        <is>
          <t>NVIDIA FLARE</t>
        </is>
      </c>
      <c r="D30" s="8" t="inlineStr">
        <is>
          <t>Technical alternative</t>
        </is>
      </c>
      <c r="E30" s="8" t="n">
        <v>0.7</v>
      </c>
      <c r="F30" s="8" t="inlineStr">
        <is>
          <t>OSS SDK under NVIDIA</t>
        </is>
      </c>
      <c r="G30" s="8" t="inlineStr">
        <is>
          <t>Product-of-parent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NVIDIA</t>
        </is>
      </c>
      <c r="K30" s="8" t="inlineStr">
        <is>
          <t>~4,000,000</t>
        </is>
      </c>
      <c r="L30" s="8" t="n">
        <v>3</v>
      </c>
      <c r="M30" s="8" t="n">
        <v>3</v>
      </c>
      <c r="N30" s="8" t="n">
        <v>4</v>
      </c>
      <c r="O30" s="8" t="n">
        <v>4</v>
      </c>
      <c r="P30" s="8" t="n">
        <v>4</v>
      </c>
      <c r="Q30" s="8" t="n">
        <v>3</v>
      </c>
      <c r="R30" s="8" t="n">
        <v>3.4</v>
      </c>
      <c r="S30" s="8" t="n">
        <v>48</v>
      </c>
      <c r="T30" s="8" t="inlineStr">
        <is>
          <t>https://nvflare.readthedocs.io</t>
        </is>
      </c>
      <c r="U30" s="8" t="inlineStr">
        <is>
          <t>2026-07-28</t>
        </is>
      </c>
      <c r="V30" s="8" t="inlineStr">
        <is>
          <t>High</t>
        </is>
      </c>
    </row>
    <row r="31">
      <c r="A31" s="4" t="inlineStr">
        <is>
          <t>Federated Analytics &amp; ML</t>
        </is>
      </c>
      <c r="B31" s="4" t="inlineStr">
        <is>
          <t>PETs community (OSS)</t>
        </is>
      </c>
      <c r="C31" s="5" t="inlineStr">
        <is>
          <t>OpenMined / PySyft</t>
        </is>
      </c>
      <c r="D31" s="4" t="inlineStr">
        <is>
          <t>Messaging reference</t>
        </is>
      </c>
      <c r="E31" s="4" t="n">
        <v>0.5</v>
      </c>
      <c r="F31" s="4" t="inlineStr">
        <is>
          <t>Non-profit OSS community</t>
        </is>
      </c>
      <c r="G31" s="4" t="inlineStr">
        <is>
          <t>Company</t>
        </is>
      </c>
      <c r="H31" s="4" t="inlineStr">
        <is>
          <t>~9,800</t>
        </is>
      </c>
      <c r="I31" s="4" t="inlineStr">
        <is>
          <t>~47</t>
        </is>
      </c>
      <c r="J31" s="4" t="inlineStr">
        <is>
          <t>-</t>
        </is>
      </c>
      <c r="K31" s="4" t="inlineStr">
        <is>
          <t>-</t>
        </is>
      </c>
      <c r="L31" s="4" t="n">
        <v>3</v>
      </c>
      <c r="M31" s="4" t="n">
        <v>3</v>
      </c>
      <c r="N31" s="4" t="n">
        <v>2</v>
      </c>
      <c r="O31" s="4" t="n">
        <v>3</v>
      </c>
      <c r="P31" s="4" t="n">
        <v>5</v>
      </c>
      <c r="Q31" s="4" t="n">
        <v>4</v>
      </c>
      <c r="R31" s="4" t="n">
        <v>3.2</v>
      </c>
      <c r="S31" s="4" t="n">
        <v>32</v>
      </c>
      <c r="T31" s="4" t="inlineStr">
        <is>
          <t>https://www.openmined.org</t>
        </is>
      </c>
      <c r="U31" s="4" t="inlineStr">
        <is>
          <t>2026-07-28</t>
        </is>
      </c>
      <c r="V31" s="4" t="inlineStr">
        <is>
          <t>High</t>
        </is>
      </c>
    </row>
    <row r="32">
      <c r="A32" s="4" t="inlineStr">
        <is>
          <t>Data Integration, ETL &amp; Streaming</t>
        </is>
      </c>
      <c r="B32" s="4" t="inlineStr">
        <is>
          <t>Ingestion + Transformation</t>
        </is>
      </c>
      <c r="C32" s="5" t="inlineStr">
        <is>
          <t>Fivetran + dbt Labs (merged)</t>
        </is>
      </c>
      <c r="D32" s="4" t="inlineStr">
        <is>
          <t>Messaging reference</t>
        </is>
      </c>
      <c r="E32" s="4" t="n">
        <v>0.5</v>
      </c>
      <c r="F32" s="4" t="inlineStr">
        <is>
          <t>MERGED 1 Jun 2026 (all-stock)</t>
        </is>
      </c>
      <c r="G32" s="4" t="inlineStr">
        <is>
          <t>Company</t>
        </is>
      </c>
      <c r="H32" s="4" t="inlineStr">
        <is>
          <t>~300,000</t>
        </is>
      </c>
      <c r="I32" s="4" t="inlineStr">
        <is>
          <t>~2,500</t>
        </is>
      </c>
      <c r="J32" s="4" t="inlineStr">
        <is>
          <t>-</t>
        </is>
      </c>
      <c r="K32" s="4" t="inlineStr">
        <is>
          <t>-</t>
        </is>
      </c>
      <c r="L32" s="4" t="n">
        <v>3</v>
      </c>
      <c r="M32" s="4" t="n">
        <v>5</v>
      </c>
      <c r="N32" s="4" t="n">
        <v>5</v>
      </c>
      <c r="O32" s="4" t="n">
        <v>4</v>
      </c>
      <c r="P32" s="4" t="n">
        <v>5</v>
      </c>
      <c r="Q32" s="4" t="n">
        <v>4</v>
      </c>
      <c r="R32" s="4" t="n">
        <v>4.2</v>
      </c>
      <c r="S32" s="4" t="n">
        <v>42</v>
      </c>
      <c r="T32" s="4" t="inlineStr">
        <is>
          <t>https://www.fivetran.com</t>
        </is>
      </c>
      <c r="U32" s="4" t="inlineStr">
        <is>
          <t>2026-07-28</t>
        </is>
      </c>
      <c r="V32" s="4" t="inlineStr">
        <is>
          <t>High</t>
        </is>
      </c>
    </row>
    <row r="33">
      <c r="A33" s="6" t="inlineStr">
        <is>
          <t>Data Integration, ETL &amp; Streaming</t>
        </is>
      </c>
      <c r="B33" s="6" t="inlineStr">
        <is>
          <t>ETL</t>
        </is>
      </c>
      <c r="C33" s="7" t="inlineStr">
        <is>
          <t>IBM DataStage</t>
        </is>
      </c>
      <c r="D33" s="6" t="inlineStr">
        <is>
          <t>Ecosystem platform</t>
        </is>
      </c>
      <c r="E33" s="6" t="n">
        <v>0.3</v>
      </c>
      <c r="F33" s="6" t="inlineStr">
        <is>
          <t>Product line within IBM</t>
        </is>
      </c>
      <c r="G33" s="6" t="inlineStr">
        <is>
          <t>Product-of-parent</t>
        </is>
      </c>
      <c r="H33" s="6" t="inlineStr">
        <is>
          <t>n/a</t>
        </is>
      </c>
      <c r="I33" s="6" t="inlineStr">
        <is>
          <t>n/a</t>
        </is>
      </c>
      <c r="J33" s="6" t="inlineStr">
        <is>
          <t>IBM</t>
        </is>
      </c>
      <c r="K33" s="6" t="inlineStr">
        <is>
          <t>~19,500,000</t>
        </is>
      </c>
      <c r="L33" s="6" t="n">
        <v>2</v>
      </c>
      <c r="M33" s="6" t="n">
        <v>3</v>
      </c>
      <c r="N33" s="6" t="n">
        <v>5</v>
      </c>
      <c r="O33" s="6" t="n">
        <v>4</v>
      </c>
      <c r="P33" s="6" t="n">
        <v>3</v>
      </c>
      <c r="Q33" s="6" t="n">
        <v>3</v>
      </c>
      <c r="R33" s="6" t="n">
        <v>3.2</v>
      </c>
      <c r="S33" s="6" t="n">
        <v>19</v>
      </c>
      <c r="T33" s="6" t="inlineStr">
        <is>
          <t>https://www.ibm.com/products/datastage</t>
        </is>
      </c>
      <c r="U33" s="6" t="inlineStr">
        <is>
          <t>2026-07-28</t>
        </is>
      </c>
      <c r="V33" s="6" t="inlineStr">
        <is>
          <t>Med</t>
        </is>
      </c>
    </row>
    <row r="34">
      <c r="A34" s="6" t="inlineStr">
        <is>
          <t>Data Integration, ETL &amp; Streaming</t>
        </is>
      </c>
      <c r="B34" s="6" t="inlineStr">
        <is>
          <t>ETL</t>
        </is>
      </c>
      <c r="C34" s="7" t="inlineStr">
        <is>
          <t>Microsoft Azure Data Factory</t>
        </is>
      </c>
      <c r="D34" s="6" t="inlineStr">
        <is>
          <t>Ecosystem platform</t>
        </is>
      </c>
      <c r="E34" s="6" t="n">
        <v>0.3</v>
      </c>
      <c r="F34" s="6" t="inlineStr">
        <is>
          <t>Managed Azure service</t>
        </is>
      </c>
      <c r="G34" s="6" t="inlineStr">
        <is>
          <t>Product-of-parent</t>
        </is>
      </c>
      <c r="H34" s="6" t="inlineStr">
        <is>
          <t>n/a</t>
        </is>
      </c>
      <c r="I34" s="6" t="inlineStr">
        <is>
          <t>n/a</t>
        </is>
      </c>
      <c r="J34" s="6" t="inlineStr">
        <is>
          <t>Microsoft</t>
        </is>
      </c>
      <c r="K34" s="6" t="inlineStr">
        <is>
          <t>~28,500,000</t>
        </is>
      </c>
      <c r="L34" s="6" t="n">
        <v>2</v>
      </c>
      <c r="M34" s="6" t="n">
        <v>3</v>
      </c>
      <c r="N34" s="6" t="n">
        <v>5</v>
      </c>
      <c r="O34" s="6" t="n">
        <v>4</v>
      </c>
      <c r="P34" s="6" t="n">
        <v>4</v>
      </c>
      <c r="Q34" s="6" t="n">
        <v>3</v>
      </c>
      <c r="R34" s="6" t="n">
        <v>3.3</v>
      </c>
      <c r="S34" s="6" t="n">
        <v>20</v>
      </c>
      <c r="T34" s="6" t="inlineStr">
        <is>
          <t>https://azure.microsoft.com/en-us/products/data-factory</t>
        </is>
      </c>
      <c r="U34" s="6" t="inlineStr">
        <is>
          <t>2026-07-28</t>
        </is>
      </c>
      <c r="V34" s="6" t="inlineStr">
        <is>
          <t>Med</t>
        </is>
      </c>
    </row>
    <row r="35">
      <c r="A35" s="6" t="inlineStr">
        <is>
          <t>Data Integration, ETL &amp; Streaming</t>
        </is>
      </c>
      <c r="B35" s="6" t="inlineStr">
        <is>
          <t>ETL</t>
        </is>
      </c>
      <c r="C35" s="7" t="inlineStr">
        <is>
          <t>SAP Data Services</t>
        </is>
      </c>
      <c r="D35" s="6" t="inlineStr">
        <is>
          <t>Ecosystem platform</t>
        </is>
      </c>
      <c r="E35" s="6" t="n">
        <v>0.3</v>
      </c>
      <c r="F35" s="6" t="inlineStr">
        <is>
          <t>Legacy; steered to Datasphere</t>
        </is>
      </c>
      <c r="G35" s="6" t="inlineStr">
        <is>
          <t>Product-of-parent</t>
        </is>
      </c>
      <c r="H35" s="6" t="inlineStr">
        <is>
          <t>n/a</t>
        </is>
      </c>
      <c r="I35" s="6" t="inlineStr">
        <is>
          <t>n/a</t>
        </is>
      </c>
      <c r="J35" s="6" t="inlineStr">
        <is>
          <t>SAP</t>
        </is>
      </c>
      <c r="K35" s="6" t="inlineStr">
        <is>
          <t>~5,000,000</t>
        </is>
      </c>
      <c r="L35" s="6" t="n">
        <v>2</v>
      </c>
      <c r="M35" s="6" t="n">
        <v>2</v>
      </c>
      <c r="N35" s="6" t="n">
        <v>4</v>
      </c>
      <c r="O35" s="6" t="n">
        <v>4</v>
      </c>
      <c r="P35" s="6" t="n">
        <v>2</v>
      </c>
      <c r="Q35" s="6" t="n">
        <v>3</v>
      </c>
      <c r="R35" s="6" t="n">
        <v>2.75</v>
      </c>
      <c r="S35" s="6" t="n">
        <v>16</v>
      </c>
      <c r="T35" s="6" t="inlineStr">
        <is>
          <t>https://www.sap.com/products/technology-platform/data-services.html</t>
        </is>
      </c>
      <c r="U35" s="6" t="inlineStr">
        <is>
          <t>2026-07-28</t>
        </is>
      </c>
      <c r="V35" s="6" t="inlineStr">
        <is>
          <t>Med</t>
        </is>
      </c>
    </row>
    <row r="36">
      <c r="A36" s="4" t="inlineStr">
        <is>
          <t>Data Integration, ETL &amp; Streaming</t>
        </is>
      </c>
      <c r="B36" s="4" t="inlineStr">
        <is>
          <t>ETL</t>
        </is>
      </c>
      <c r="C36" s="5" t="inlineStr">
        <is>
          <t>Talend (Qlik)</t>
        </is>
      </c>
      <c r="D36" s="4" t="inlineStr">
        <is>
          <t>Messaging reference</t>
        </is>
      </c>
      <c r="E36" s="4" t="n">
        <v>0.5</v>
      </c>
      <c r="F36" s="4" t="inlineStr">
        <is>
          <t>Acquired by Qlik; brand sunsetting</t>
        </is>
      </c>
      <c r="G36" s="4" t="inlineStr">
        <is>
          <t>Acquired</t>
        </is>
      </c>
      <c r="H36" s="4" t="inlineStr">
        <is>
          <t>~82,300</t>
        </is>
      </c>
      <c r="I36" s="4" t="inlineStr">
        <is>
          <t>n/v</t>
        </is>
      </c>
      <c r="J36" s="4" t="inlineStr">
        <is>
          <t>Qlik</t>
        </is>
      </c>
      <c r="K36" s="4" t="inlineStr">
        <is>
          <t>~306,000</t>
        </is>
      </c>
      <c r="L36" s="4" t="n">
        <v>3</v>
      </c>
      <c r="M36" s="4" t="n">
        <v>3</v>
      </c>
      <c r="N36" s="4" t="n">
        <v>4</v>
      </c>
      <c r="O36" s="4" t="n">
        <v>4</v>
      </c>
      <c r="P36" s="4" t="n">
        <v>3</v>
      </c>
      <c r="Q36" s="4" t="n">
        <v>4</v>
      </c>
      <c r="R36" s="4" t="n">
        <v>3.45</v>
      </c>
      <c r="S36" s="4" t="n">
        <v>34</v>
      </c>
      <c r="T36" s="4" t="inlineStr">
        <is>
          <t>https://www.talend.com</t>
        </is>
      </c>
      <c r="U36" s="4" t="inlineStr">
        <is>
          <t>2026-07-28</t>
        </is>
      </c>
      <c r="V36" s="4" t="inlineStr">
        <is>
          <t>Med</t>
        </is>
      </c>
    </row>
    <row r="37">
      <c r="A37" s="6" t="inlineStr">
        <is>
          <t>Data Integration, ETL &amp; Streaming</t>
        </is>
      </c>
      <c r="B37" s="6" t="inlineStr">
        <is>
          <t>Streaming</t>
        </is>
      </c>
      <c r="C37" s="7" t="inlineStr">
        <is>
          <t>Confluent</t>
        </is>
      </c>
      <c r="D37" s="6" t="inlineStr">
        <is>
          <t>Ecosystem platform</t>
        </is>
      </c>
      <c r="E37" s="6" t="n">
        <v>0.3</v>
      </c>
      <c r="F37" s="6" t="inlineStr">
        <is>
          <t>IBM acquisition completed 17 Mar 2026</t>
        </is>
      </c>
      <c r="G37" s="6" t="inlineStr">
        <is>
          <t>Acquired</t>
        </is>
      </c>
      <c r="H37" s="6" t="inlineStr">
        <is>
          <t>~695,000</t>
        </is>
      </c>
      <c r="I37" s="6" t="inlineStr">
        <is>
          <t>~3,500</t>
        </is>
      </c>
      <c r="J37" s="6" t="inlineStr">
        <is>
          <t>IBM</t>
        </is>
      </c>
      <c r="K37" s="6" t="inlineStr">
        <is>
          <t>~19,500,000</t>
        </is>
      </c>
      <c r="L37" s="6" t="n">
        <v>3</v>
      </c>
      <c r="M37" s="6" t="n">
        <v>4</v>
      </c>
      <c r="N37" s="6" t="n">
        <v>5</v>
      </c>
      <c r="O37" s="6" t="n">
        <v>4</v>
      </c>
      <c r="P37" s="6" t="n">
        <v>5</v>
      </c>
      <c r="Q37" s="6" t="n">
        <v>4</v>
      </c>
      <c r="R37" s="6" t="n">
        <v>4</v>
      </c>
      <c r="S37" s="6" t="n">
        <v>24</v>
      </c>
      <c r="T37" s="6" t="inlineStr">
        <is>
          <t>https://www.confluent.io</t>
        </is>
      </c>
      <c r="U37" s="6" t="inlineStr">
        <is>
          <t>2026-07-28</t>
        </is>
      </c>
      <c r="V37" s="6" t="inlineStr">
        <is>
          <t>High</t>
        </is>
      </c>
    </row>
    <row r="38">
      <c r="A38" s="6" t="inlineStr">
        <is>
          <t>Data Integration, ETL &amp; Streaming</t>
        </is>
      </c>
      <c r="B38" s="6" t="inlineStr">
        <is>
          <t>Streaming / DataOps</t>
        </is>
      </c>
      <c r="C38" s="7" t="inlineStr">
        <is>
          <t>StreamSets</t>
        </is>
      </c>
      <c r="D38" s="6" t="inlineStr">
        <is>
          <t>Ecosystem platform</t>
        </is>
      </c>
      <c r="E38" s="6" t="n">
        <v>0.3</v>
      </c>
      <c r="F38" s="6" t="inlineStr">
        <is>
          <t>Acquired by IBM (2024)</t>
        </is>
      </c>
      <c r="G38" s="6" t="inlineStr">
        <is>
          <t>Acquired</t>
        </is>
      </c>
      <c r="H38" s="6" t="inlineStr">
        <is>
          <t>n/v</t>
        </is>
      </c>
      <c r="I38" s="6" t="inlineStr">
        <is>
          <t>n/v</t>
        </is>
      </c>
      <c r="J38" s="6" t="inlineStr">
        <is>
          <t>IBM</t>
        </is>
      </c>
      <c r="K38" s="6" t="inlineStr">
        <is>
          <t>~19,500,000</t>
        </is>
      </c>
      <c r="L38" s="6" t="n">
        <v>2</v>
      </c>
      <c r="M38" s="6" t="n">
        <v>3</v>
      </c>
      <c r="N38" s="6" t="n">
        <v>4</v>
      </c>
      <c r="O38" s="6" t="n">
        <v>4</v>
      </c>
      <c r="P38" s="6" t="n">
        <v>2</v>
      </c>
      <c r="Q38" s="6" t="n">
        <v>3</v>
      </c>
      <c r="R38" s="6" t="n">
        <v>2.95</v>
      </c>
      <c r="S38" s="6" t="n">
        <v>18</v>
      </c>
      <c r="T38" s="6" t="inlineStr">
        <is>
          <t>https://www.softwareag.com/en_corporate/platform/streamsets.html</t>
        </is>
      </c>
      <c r="U38" s="6" t="inlineStr">
        <is>
          <t>2026-07-28</t>
        </is>
      </c>
      <c r="V38" s="6" t="inlineStr">
        <is>
          <t>Med</t>
        </is>
      </c>
    </row>
    <row r="39">
      <c r="A39" s="4" t="inlineStr">
        <is>
          <t>Data Integration, ETL &amp; Streaming</t>
        </is>
      </c>
      <c r="B39" s="4" t="inlineStr">
        <is>
          <t>Streaming / CDC</t>
        </is>
      </c>
      <c r="C39" s="5" t="inlineStr">
        <is>
          <t>Striim</t>
        </is>
      </c>
      <c r="D39" s="4" t="inlineStr">
        <is>
          <t>Messaging reference</t>
        </is>
      </c>
      <c r="E39" s="4" t="n">
        <v>0.5</v>
      </c>
      <c r="F39" s="4" t="inlineStr">
        <is>
          <t>Active, independent; ~$33.6M rev</t>
        </is>
      </c>
      <c r="G39" s="4" t="inlineStr">
        <is>
          <t>Company</t>
        </is>
      </c>
      <c r="H39" s="4" t="inlineStr">
        <is>
          <t>~18,300</t>
        </is>
      </c>
      <c r="I39" s="4" t="inlineStr">
        <is>
          <t>~221</t>
        </is>
      </c>
      <c r="J39" s="4" t="inlineStr">
        <is>
          <t>-</t>
        </is>
      </c>
      <c r="K39" s="4" t="inlineStr">
        <is>
          <t>-</t>
        </is>
      </c>
      <c r="L39" s="4" t="n">
        <v>3</v>
      </c>
      <c r="M39" s="4" t="n">
        <v>3</v>
      </c>
      <c r="N39" s="4" t="n">
        <v>3</v>
      </c>
      <c r="O39" s="4" t="n">
        <v>3</v>
      </c>
      <c r="P39" s="4" t="n">
        <v>3</v>
      </c>
      <c r="Q39" s="4" t="n">
        <v>4</v>
      </c>
      <c r="R39" s="4" t="n">
        <v>3.15</v>
      </c>
      <c r="S39" s="4" t="n">
        <v>32</v>
      </c>
      <c r="T39" s="4" t="inlineStr">
        <is>
          <t>https://www.striim.com</t>
        </is>
      </c>
      <c r="U39" s="4" t="inlineStr">
        <is>
          <t>2026-07-28</t>
        </is>
      </c>
      <c r="V39" s="4" t="inlineStr">
        <is>
          <t>Med</t>
        </is>
      </c>
    </row>
    <row r="40">
      <c r="A40" s="4" t="inlineStr">
        <is>
          <t>Governance, Cataloging &amp; Decisioning</t>
        </is>
      </c>
      <c r="B40" s="4" t="inlineStr">
        <is>
          <t>Catalog / Governance</t>
        </is>
      </c>
      <c r="C40" s="5" t="inlineStr">
        <is>
          <t>Alation</t>
        </is>
      </c>
      <c r="D40" s="4" t="inlineStr">
        <is>
          <t>Messaging reference</t>
        </is>
      </c>
      <c r="E40" s="4" t="n">
        <v>0.5</v>
      </c>
      <c r="F40" s="4" t="inlineStr">
        <is>
          <t>Standalone; $340M+ raised</t>
        </is>
      </c>
      <c r="G40" s="4" t="inlineStr">
        <is>
          <t>Company</t>
        </is>
      </c>
      <c r="H40" s="4" t="inlineStr">
        <is>
          <t>~127,500</t>
        </is>
      </c>
      <c r="I40" s="4" t="inlineStr">
        <is>
          <t>~750</t>
        </is>
      </c>
      <c r="J40" s="4" t="inlineStr">
        <is>
          <t>-</t>
        </is>
      </c>
      <c r="K40" s="4" t="inlineStr">
        <is>
          <t>-</t>
        </is>
      </c>
      <c r="L40" s="4" t="n">
        <v>3</v>
      </c>
      <c r="M40" s="4" t="n">
        <v>5</v>
      </c>
      <c r="N40" s="4" t="n">
        <v>4</v>
      </c>
      <c r="O40" s="4" t="n">
        <v>4</v>
      </c>
      <c r="P40" s="4" t="n">
        <v>4</v>
      </c>
      <c r="Q40" s="4" t="n">
        <v>4</v>
      </c>
      <c r="R40" s="4" t="n">
        <v>3.95</v>
      </c>
      <c r="S40" s="4" t="n">
        <v>40</v>
      </c>
      <c r="T40" s="4" t="inlineStr">
        <is>
          <t>https://www.alation.com</t>
        </is>
      </c>
      <c r="U40" s="4" t="inlineStr">
        <is>
          <t>2026-07-28</t>
        </is>
      </c>
      <c r="V40" s="4" t="inlineStr">
        <is>
          <t>Med</t>
        </is>
      </c>
    </row>
    <row r="41">
      <c r="A41" s="4" t="inlineStr">
        <is>
          <t>Governance, Cataloging &amp; Decisioning</t>
        </is>
      </c>
      <c r="B41" s="4" t="inlineStr">
        <is>
          <t>Catalog / Governance</t>
        </is>
      </c>
      <c r="C41" s="5" t="inlineStr">
        <is>
          <t>Atlan</t>
        </is>
      </c>
      <c r="D41" s="4" t="inlineStr">
        <is>
          <t>Messaging reference</t>
        </is>
      </c>
      <c r="E41" s="4" t="n">
        <v>0.5</v>
      </c>
      <c r="F41" s="4" t="inlineStr">
        <is>
          <t>Standalone; ~$206M raised</t>
        </is>
      </c>
      <c r="G41" s="4" t="inlineStr">
        <is>
          <t>Company</t>
        </is>
      </c>
      <c r="H41" s="4" t="inlineStr">
        <is>
          <t>~62,800</t>
        </is>
      </c>
      <c r="I41" s="4" t="inlineStr">
        <is>
          <t>~572</t>
        </is>
      </c>
      <c r="J41" s="4" t="inlineStr">
        <is>
          <t>-</t>
        </is>
      </c>
      <c r="K41" s="4" t="inlineStr">
        <is>
          <t>-</t>
        </is>
      </c>
      <c r="L41" s="4" t="n">
        <v>3</v>
      </c>
      <c r="M41" s="4" t="n">
        <v>5</v>
      </c>
      <c r="N41" s="4" t="n">
        <v>4</v>
      </c>
      <c r="O41" s="4" t="n">
        <v>4</v>
      </c>
      <c r="P41" s="4" t="n">
        <v>4</v>
      </c>
      <c r="Q41" s="4" t="n">
        <v>5</v>
      </c>
      <c r="R41" s="4" t="n">
        <v>4.1</v>
      </c>
      <c r="S41" s="4" t="n">
        <v>41</v>
      </c>
      <c r="T41" s="4" t="inlineStr">
        <is>
          <t>https://www.atlan.com</t>
        </is>
      </c>
      <c r="U41" s="4" t="inlineStr">
        <is>
          <t>2026-07-28</t>
        </is>
      </c>
      <c r="V41" s="4" t="inlineStr">
        <is>
          <t>Med</t>
        </is>
      </c>
    </row>
    <row r="42">
      <c r="A42" s="4" t="inlineStr">
        <is>
          <t>Governance, Cataloging &amp; Decisioning</t>
        </is>
      </c>
      <c r="B42" s="4" t="inlineStr">
        <is>
          <t>Governance</t>
        </is>
      </c>
      <c r="C42" s="5" t="inlineStr">
        <is>
          <t>Collibra</t>
        </is>
      </c>
      <c r="D42" s="4" t="inlineStr">
        <is>
          <t>Messaging reference</t>
        </is>
      </c>
      <c r="E42" s="4" t="n">
        <v>0.5</v>
      </c>
      <c r="F42" s="4" t="inlineStr">
        <is>
          <t>Standalone; $596M raised</t>
        </is>
      </c>
      <c r="G42" s="4" t="inlineStr">
        <is>
          <t>Company</t>
        </is>
      </c>
      <c r="H42" s="4" t="inlineStr">
        <is>
          <t>~69,800</t>
        </is>
      </c>
      <c r="I42" s="4" t="inlineStr">
        <is>
          <t>~1,100</t>
        </is>
      </c>
      <c r="J42" s="4" t="inlineStr">
        <is>
          <t>-</t>
        </is>
      </c>
      <c r="K42" s="4" t="inlineStr">
        <is>
          <t>-</t>
        </is>
      </c>
      <c r="L42" s="4" t="n">
        <v>3</v>
      </c>
      <c r="M42" s="4" t="n">
        <v>4</v>
      </c>
      <c r="N42" s="4" t="n">
        <v>4</v>
      </c>
      <c r="O42" s="4" t="n">
        <v>4</v>
      </c>
      <c r="P42" s="4" t="n">
        <v>3</v>
      </c>
      <c r="Q42" s="4" t="n">
        <v>4</v>
      </c>
      <c r="R42" s="4" t="n">
        <v>3.65</v>
      </c>
      <c r="S42" s="4" t="n">
        <v>36</v>
      </c>
      <c r="T42" s="4" t="inlineStr">
        <is>
          <t>https://www.collibra.com</t>
        </is>
      </c>
      <c r="U42" s="4" t="inlineStr">
        <is>
          <t>2026-07-28</t>
        </is>
      </c>
      <c r="V42" s="4" t="inlineStr">
        <is>
          <t>Med</t>
        </is>
      </c>
    </row>
    <row r="43">
      <c r="A43" s="4" t="inlineStr">
        <is>
          <t>Governance, Cataloging &amp; Decisioning</t>
        </is>
      </c>
      <c r="B43" s="4" t="inlineStr">
        <is>
          <t>Data Integrity</t>
        </is>
      </c>
      <c r="C43" s="5" t="inlineStr">
        <is>
          <t>Precisely</t>
        </is>
      </c>
      <c r="D43" s="4" t="inlineStr">
        <is>
          <t>Messaging reference</t>
        </is>
      </c>
      <c r="E43" s="4" t="n">
        <v>0.5</v>
      </c>
      <c r="F43" s="4" t="inlineStr">
        <is>
          <t>Standalone; 12,000+ customers</t>
        </is>
      </c>
      <c r="G43" s="4" t="inlineStr">
        <is>
          <t>Company</t>
        </is>
      </c>
      <c r="H43" s="4" t="inlineStr">
        <is>
          <t>~351,200</t>
        </is>
      </c>
      <c r="I43" s="4" t="inlineStr">
        <is>
          <t>~2,800</t>
        </is>
      </c>
      <c r="J43" s="4" t="inlineStr">
        <is>
          <t>-</t>
        </is>
      </c>
      <c r="K43" s="4" t="inlineStr">
        <is>
          <t>-</t>
        </is>
      </c>
      <c r="L43" s="4" t="n">
        <v>3</v>
      </c>
      <c r="M43" s="4" t="n">
        <v>4</v>
      </c>
      <c r="N43" s="4" t="n">
        <v>5</v>
      </c>
      <c r="O43" s="4" t="n">
        <v>5</v>
      </c>
      <c r="P43" s="4" t="n">
        <v>3</v>
      </c>
      <c r="Q43" s="4" t="n">
        <v>4</v>
      </c>
      <c r="R43" s="4" t="n">
        <v>3.95</v>
      </c>
      <c r="S43" s="4" t="n">
        <v>40</v>
      </c>
      <c r="T43" s="4" t="inlineStr">
        <is>
          <t>https://www.precisely.com</t>
        </is>
      </c>
      <c r="U43" s="4" t="inlineStr">
        <is>
          <t>2026-07-28</t>
        </is>
      </c>
      <c r="V43" s="4" t="inlineStr">
        <is>
          <t>Med</t>
        </is>
      </c>
    </row>
    <row r="44">
      <c r="A44" s="4" t="inlineStr">
        <is>
          <t>Governance, Cataloging &amp; Decisioning</t>
        </is>
      </c>
      <c r="B44" s="4" t="inlineStr">
        <is>
          <t>Data Mgmt (now Salesforce)</t>
        </is>
      </c>
      <c r="C44" s="5" t="inlineStr">
        <is>
          <t>Informatica</t>
        </is>
      </c>
      <c r="D44" s="4" t="inlineStr">
        <is>
          <t>Messaging reference</t>
        </is>
      </c>
      <c r="E44" s="4" t="n">
        <v>0.5</v>
      </c>
      <c r="F44" s="4" t="inlineStr">
        <is>
          <t>Acquired by Salesforce (18 Nov 2025)</t>
        </is>
      </c>
      <c r="G44" s="4" t="inlineStr">
        <is>
          <t>Acquired</t>
        </is>
      </c>
      <c r="H44" s="4" t="inlineStr">
        <is>
          <t>~378,000</t>
        </is>
      </c>
      <c r="I44" s="4" t="inlineStr">
        <is>
          <t>~2,800</t>
        </is>
      </c>
      <c r="J44" s="4" t="inlineStr">
        <is>
          <t>Salesforce</t>
        </is>
      </c>
      <c r="K44" s="4" t="inlineStr">
        <is>
          <t>~13,000,000</t>
        </is>
      </c>
      <c r="L44" s="4" t="n">
        <v>3</v>
      </c>
      <c r="M44" s="4" t="n">
        <v>4</v>
      </c>
      <c r="N44" s="4" t="n">
        <v>5</v>
      </c>
      <c r="O44" s="4" t="n">
        <v>5</v>
      </c>
      <c r="P44" s="4" t="n">
        <v>3</v>
      </c>
      <c r="Q44" s="4" t="n">
        <v>4</v>
      </c>
      <c r="R44" s="4" t="n">
        <v>3.95</v>
      </c>
      <c r="S44" s="4" t="n">
        <v>40</v>
      </c>
      <c r="T44" s="4" t="inlineStr">
        <is>
          <t>https://www.informatica.com</t>
        </is>
      </c>
      <c r="U44" s="4" t="inlineStr">
        <is>
          <t>2026-07-28</t>
        </is>
      </c>
      <c r="V44" s="4" t="inlineStr">
        <is>
          <t>High</t>
        </is>
      </c>
    </row>
    <row r="45">
      <c r="A45" s="4" t="inlineStr">
        <is>
          <t>Governance, Cataloging &amp; Decisioning</t>
        </is>
      </c>
      <c r="B45" s="4" t="inlineStr">
        <is>
          <t>Decisioning</t>
        </is>
      </c>
      <c r="C45" s="5" t="inlineStr">
        <is>
          <t>FICO</t>
        </is>
      </c>
      <c r="D45" s="4" t="inlineStr">
        <is>
          <t>Messaging reference</t>
        </is>
      </c>
      <c r="E45" s="4" t="n">
        <v>0.5</v>
      </c>
      <c r="F45" s="4" t="inlineStr">
        <is>
          <t>Public (NYSE: FICO)</t>
        </is>
      </c>
      <c r="G45" s="4" t="inlineStr">
        <is>
          <t>Company</t>
        </is>
      </c>
      <c r="H45" s="4" t="inlineStr">
        <is>
          <t>~546,300</t>
        </is>
      </c>
      <c r="I45" s="4" t="inlineStr">
        <is>
          <t>~3,800</t>
        </is>
      </c>
      <c r="J45" s="4" t="inlineStr">
        <is>
          <t>-</t>
        </is>
      </c>
      <c r="K45" s="4" t="inlineStr">
        <is>
          <t>-</t>
        </is>
      </c>
      <c r="L45" s="4" t="n">
        <v>2</v>
      </c>
      <c r="M45" s="4" t="n">
        <v>5</v>
      </c>
      <c r="N45" s="4" t="n">
        <v>5</v>
      </c>
      <c r="O45" s="4" t="n">
        <v>5</v>
      </c>
      <c r="P45" s="4" t="n">
        <v>3</v>
      </c>
      <c r="Q45" s="4" t="n">
        <v>4</v>
      </c>
      <c r="R45" s="4" t="n">
        <v>3.9</v>
      </c>
      <c r="S45" s="4" t="n">
        <v>39</v>
      </c>
      <c r="T45" s="4" t="inlineStr">
        <is>
          <t>https://www.fico.com</t>
        </is>
      </c>
      <c r="U45" s="4" t="inlineStr">
        <is>
          <t>2026-07-28</t>
        </is>
      </c>
      <c r="V45" s="4" t="inlineStr">
        <is>
          <t>Med</t>
        </is>
      </c>
    </row>
    <row r="46">
      <c r="A46" s="6" t="inlineStr">
        <is>
          <t>Governance, Cataloging &amp; Decisioning</t>
        </is>
      </c>
      <c r="B46" s="6" t="inlineStr">
        <is>
          <t>Decisioning</t>
        </is>
      </c>
      <c r="C46" s="7" t="inlineStr">
        <is>
          <t>IBM ODM</t>
        </is>
      </c>
      <c r="D46" s="6" t="inlineStr">
        <is>
          <t>Ecosystem platform</t>
        </is>
      </c>
      <c r="E46" s="6" t="n">
        <v>0.3</v>
      </c>
      <c r="F46" s="6" t="inlineStr">
        <is>
          <t>Product-in-a-suite; EOS Sep 2026</t>
        </is>
      </c>
      <c r="G46" s="6" t="inlineStr">
        <is>
          <t>Product-of-parent</t>
        </is>
      </c>
      <c r="H46" s="6" t="inlineStr">
        <is>
          <t>n/a</t>
        </is>
      </c>
      <c r="I46" s="6" t="inlineStr">
        <is>
          <t>n/a</t>
        </is>
      </c>
      <c r="J46" s="6" t="inlineStr">
        <is>
          <t>IBM</t>
        </is>
      </c>
      <c r="K46" s="6" t="inlineStr">
        <is>
          <t>~19,500,000</t>
        </is>
      </c>
      <c r="L46" s="6" t="n">
        <v>2</v>
      </c>
      <c r="M46" s="6" t="n">
        <v>2</v>
      </c>
      <c r="N46" s="6" t="n">
        <v>4</v>
      </c>
      <c r="O46" s="6" t="n">
        <v>3</v>
      </c>
      <c r="P46" s="6" t="n">
        <v>2</v>
      </c>
      <c r="Q46" s="6" t="n">
        <v>2</v>
      </c>
      <c r="R46" s="6" t="n">
        <v>2.45</v>
      </c>
      <c r="S46" s="6" t="n">
        <v>15</v>
      </c>
      <c r="T46" s="6" t="inlineStr">
        <is>
          <t>https://www.ibm.com/products/operational-decision-manager</t>
        </is>
      </c>
      <c r="U46" s="6" t="inlineStr">
        <is>
          <t>2026-07-28</t>
        </is>
      </c>
      <c r="V46" s="6" t="inlineStr">
        <is>
          <t>Low</t>
        </is>
      </c>
    </row>
    <row r="47">
      <c r="A47" s="4" t="inlineStr">
        <is>
          <t>Governance, Cataloging &amp; Decisioning</t>
        </is>
      </c>
      <c r="B47" s="4" t="inlineStr">
        <is>
          <t>Decisioning / Workflow</t>
        </is>
      </c>
      <c r="C47" s="5" t="inlineStr">
        <is>
          <t>Pegasystems</t>
        </is>
      </c>
      <c r="D47" s="4" t="inlineStr">
        <is>
          <t>Messaging reference</t>
        </is>
      </c>
      <c r="E47" s="4" t="n">
        <v>0.5</v>
      </c>
      <c r="F47" s="4" t="inlineStr">
        <is>
          <t>Public (NASDAQ: PEGA)</t>
        </is>
      </c>
      <c r="G47" s="4" t="inlineStr">
        <is>
          <t>Company</t>
        </is>
      </c>
      <c r="H47" s="4" t="inlineStr">
        <is>
          <t>~467,300</t>
        </is>
      </c>
      <c r="I47" s="4" t="inlineStr">
        <is>
          <t>~5,200</t>
        </is>
      </c>
      <c r="J47" s="4" t="inlineStr">
        <is>
          <t>-</t>
        </is>
      </c>
      <c r="K47" s="4" t="inlineStr">
        <is>
          <t>-</t>
        </is>
      </c>
      <c r="L47" s="4" t="n">
        <v>2</v>
      </c>
      <c r="M47" s="4" t="n">
        <v>5</v>
      </c>
      <c r="N47" s="4" t="n">
        <v>5</v>
      </c>
      <c r="O47" s="4" t="n">
        <v>4</v>
      </c>
      <c r="P47" s="4" t="n">
        <v>3</v>
      </c>
      <c r="Q47" s="4" t="n">
        <v>4</v>
      </c>
      <c r="R47" s="4" t="n">
        <v>3.75</v>
      </c>
      <c r="S47" s="4" t="n">
        <v>38</v>
      </c>
      <c r="T47" s="4" t="inlineStr">
        <is>
          <t>https://www.pega.com</t>
        </is>
      </c>
      <c r="U47" s="4" t="inlineStr">
        <is>
          <t>2026-07-28</t>
        </is>
      </c>
      <c r="V47" s="4" t="inlineStr">
        <is>
          <t>Med</t>
        </is>
      </c>
    </row>
    <row r="48">
      <c r="A48" s="10" t="inlineStr">
        <is>
          <t>BENCHMARK</t>
        </is>
      </c>
      <c r="B48" s="10" t="inlineStr">
        <is>
          <t>-</t>
        </is>
      </c>
      <c r="C48" s="11" t="inlineStr">
        <is>
          <t>Ocean Enterprise (OEC)</t>
        </is>
      </c>
      <c r="D48" s="10" t="inlineStr">
        <is>
          <t>Subject</t>
        </is>
      </c>
      <c r="E48" s="10" t="inlineStr">
        <is>
          <t>-</t>
        </is>
      </c>
      <c r="F48" s="10" t="inlineStr">
        <is>
          <t>Open, collectively-governed C2D network</t>
        </is>
      </c>
      <c r="G48" s="10" t="inlineStr">
        <is>
          <t>Company</t>
        </is>
      </c>
      <c r="H48" s="10" t="inlineStr">
        <is>
          <t>small / n/v</t>
        </is>
      </c>
      <c r="I48" s="10" t="inlineStr">
        <is>
          <t>collective</t>
        </is>
      </c>
      <c r="J48" s="10" t="inlineStr">
        <is>
          <t>OEC (non-profit)</t>
        </is>
      </c>
      <c r="K48" s="10" t="inlineStr">
        <is>
          <t>-</t>
        </is>
      </c>
      <c r="L48" s="10" t="inlineStr">
        <is>
          <t>n/a</t>
        </is>
      </c>
      <c r="M48" s="10" t="n">
        <v>2</v>
      </c>
      <c r="N48" s="10" t="n">
        <v>3</v>
      </c>
      <c r="O48" s="10" t="n">
        <v>4</v>
      </c>
      <c r="P48" s="10" t="n">
        <v>2</v>
      </c>
      <c r="Q48" s="10" t="inlineStr">
        <is>
          <t>n/a</t>
        </is>
      </c>
      <c r="R48" s="10" t="n">
        <v>2.75</v>
      </c>
      <c r="S48" s="10" t="inlineStr">
        <is>
          <t>n/a (benchmark)</t>
        </is>
      </c>
      <c r="T48" s="10" t="inlineStr">
        <is>
          <t>https://www.oceanenterprise.io/</t>
        </is>
      </c>
      <c r="U48" s="10" t="inlineStr">
        <is>
          <t>2026-07-28</t>
        </is>
      </c>
      <c r="V48" s="10" t="inlineStr">
        <is>
          <t>Med</t>
        </is>
      </c>
    </row>
  </sheetData>
  <autoFilter ref="A1:V48"/>
  <conditionalFormatting sqref="R2:R48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S2:S48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16" customWidth="1" min="4" max="4"/>
    <col width="70" customWidth="1" min="5" max="5"/>
  </cols>
  <sheetData>
    <row r="1" ht="30" customHeight="1">
      <c r="A1" s="1" t="inlineStr">
        <is>
          <t>Criterion</t>
        </is>
      </c>
      <c r="B1" s="1" t="inlineStr">
        <is>
          <t>Ocean Enterprise (OEC)</t>
        </is>
      </c>
      <c r="C1" s="1" t="inlineStr">
        <is>
          <t>Direct-competitor avg</t>
        </is>
      </c>
      <c r="D1" s="1" t="inlineStr">
        <is>
          <t>Gap (OE - Direct)</t>
        </is>
      </c>
      <c r="E1" s="1" t="inlineStr">
        <is>
          <t>Reading</t>
        </is>
      </c>
    </row>
    <row r="2">
      <c r="A2" s="12" t="inlineStr">
        <is>
          <t>Positioning</t>
        </is>
      </c>
      <c r="B2" s="12" t="n">
        <v>2</v>
      </c>
      <c r="C2" s="12" t="n">
        <v>3.73</v>
      </c>
      <c r="D2" s="13" t="n">
        <v>-1.73</v>
      </c>
      <c r="E2" s="12" t="inlineStr">
        <is>
          <t>OE has strong substance but a weak, unnamed surfaced message. Biggest, cheapest gap to close.</t>
        </is>
      </c>
    </row>
    <row r="3">
      <c r="A3" s="12" t="inlineStr">
        <is>
          <t>Traction</t>
        </is>
      </c>
      <c r="B3" s="12" t="n">
        <v>3</v>
      </c>
      <c r="C3" s="12" t="n">
        <v>2.64</v>
      </c>
      <c r="D3" s="14" t="n">
        <v>0.36</v>
      </c>
      <c r="E3" s="12" t="inlineStr">
        <is>
          <t>Real blue-chip members (Mercedes/Acentrik, EuProGigant) but early; roughly at par with small direct peers.</t>
        </is>
      </c>
    </row>
    <row r="4">
      <c r="A4" s="12" t="inlineStr">
        <is>
          <t>Trust</t>
        </is>
      </c>
      <c r="B4" s="12" t="n">
        <v>4</v>
      </c>
      <c r="C4" s="12" t="n">
        <v>3.18</v>
      </c>
      <c r="D4" s="14" t="n">
        <v>0.82</v>
      </c>
      <c r="E4" s="12" t="inlineStr">
        <is>
          <t>OE's Gaia-X/IDS lineage + collective governance + national-institution members = a genuine STRENGTH vs peers.</t>
        </is>
      </c>
    </row>
    <row r="5">
      <c r="A5" s="12" t="inlineStr">
        <is>
          <t>Community</t>
        </is>
      </c>
      <c r="B5" s="12" t="n">
        <v>2</v>
      </c>
      <c r="C5" s="12" t="n">
        <v>2.91</v>
      </c>
      <c r="D5" s="13" t="n">
        <v>-0.91</v>
      </c>
      <c r="E5" s="12" t="inlineStr">
        <is>
          <t>Small social footprint; OSS + collective are assets that are under-activated.</t>
        </is>
      </c>
    </row>
    <row r="6">
      <c r="A6" s="12" t="n"/>
      <c r="B6" s="12" t="n"/>
      <c r="C6" s="12" t="n"/>
      <c r="D6" s="12" t="n"/>
      <c r="E6" s="12" t="n"/>
    </row>
    <row r="7">
      <c r="A7" s="12" t="inlineStr">
        <is>
          <t>Note</t>
        </is>
      </c>
      <c r="B7" s="12" t="inlineStr">
        <is>
          <t>Scores are 1-5 on the rubric in the 'Scoring Model' tab. OE Relevance/Tactic-transfer are n/a (it is the benchmark subject).</t>
        </is>
      </c>
      <c r="C7" s="12" t="inlineStr"/>
      <c r="D7" s="12" t="inlineStr"/>
      <c r="E7" s="12" t="inlineStr"/>
    </row>
    <row r="8">
      <c r="A8" s="12" t="inlineStr">
        <is>
          <t>Headline</t>
        </is>
      </c>
      <c r="B8" s="12" t="inlineStr">
        <is>
          <t>OE's edge is TRUST (governance/sovereignty/blue-chip members); its gap is POSITIONING + COMMUNITY surface. Close the message + proof gap and OE leads its direct segment on trust-weighted relevance.</t>
        </is>
      </c>
      <c r="C8" s="12" t="inlineStr"/>
      <c r="D8" s="12" t="inlineStr"/>
      <c r="E8" s="1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34" customWidth="1" min="3" max="3"/>
    <col width="16" customWidth="1" min="4" max="4"/>
    <col width="12" customWidth="1" min="5" max="5"/>
    <col width="15" customWidth="1" min="6" max="6"/>
    <col width="13" customWidth="1" min="7" max="7"/>
    <col width="60" customWidth="1" min="8" max="8"/>
  </cols>
  <sheetData>
    <row r="1" ht="34" customHeight="1">
      <c r="A1" s="1" t="inlineStr">
        <is>
          <t>#</t>
        </is>
      </c>
      <c r="B1" s="1" t="inlineStr">
        <is>
          <t>Tactic to borrow</t>
        </is>
      </c>
      <c r="C1" s="1" t="inlineStr">
        <is>
          <t>Source competitor(s)</t>
        </is>
      </c>
      <c r="D1" s="1" t="inlineStr">
        <is>
          <t>Expected impact (1-5)</t>
        </is>
      </c>
      <c r="E1" s="1" t="inlineStr">
        <is>
          <t>Effort (1-5)</t>
        </is>
      </c>
      <c r="F1" s="1" t="inlineStr">
        <is>
          <t>Fit for OEC (1-5)</t>
        </is>
      </c>
      <c r="G1" s="1" t="inlineStr">
        <is>
          <t>Priority score</t>
        </is>
      </c>
      <c r="H1" s="1" t="inlineStr">
        <is>
          <t>Supporting evidence</t>
        </is>
      </c>
    </row>
    <row r="2">
      <c r="A2" s="12" t="n">
        <v>1</v>
      </c>
      <c r="B2" s="15" t="inlineStr">
        <is>
          <t>Brand Compute-to-Data as a named, ownable category phrase</t>
        </is>
      </c>
      <c r="C2" s="12" t="inlineStr">
        <is>
          <t>Atlan 'context layer', Inpher 'Secret Computing', Informatica 'CLAIRE'</t>
        </is>
      </c>
      <c r="D2" s="12" t="n">
        <v>5</v>
      </c>
      <c r="E2" s="12" t="n">
        <v>1</v>
      </c>
      <c r="F2" s="12" t="n">
        <v>5</v>
      </c>
      <c r="G2" s="12" t="n">
        <v>100</v>
      </c>
      <c r="H2" s="12" t="inlineStr">
        <is>
          <t>Named assets get repeated in press/analyst coverage; OE's C2D is unbranded</t>
        </is>
      </c>
    </row>
    <row r="3">
      <c r="A3" s="12" t="n">
        <v>2</v>
      </c>
      <c r="B3" s="15" t="inlineStr">
        <is>
          <t>Two-track CTA: enterprise demo + self-serve/OSS entry</t>
        </is>
      </c>
      <c r="C3" s="12" t="inlineStr">
        <is>
          <t>dbt+Fivetran, Phala, iExec, Flower</t>
        </is>
      </c>
      <c r="D3" s="12" t="n">
        <v>5</v>
      </c>
      <c r="E3" s="12" t="n">
        <v>2</v>
      </c>
      <c r="F3" s="12" t="n">
        <v>5</v>
      </c>
      <c r="G3" s="12" t="n">
        <v>50</v>
      </c>
      <c r="H3" s="12" t="inlineStr">
        <is>
          <t>PLG + enterprise funnels are standard among high-traction peers; OE has neither surfaced today</t>
        </is>
      </c>
    </row>
    <row r="4">
      <c r="A4" s="12" t="n">
        <v>3</v>
      </c>
      <c r="B4" s="15" t="inlineStr">
        <is>
          <t>Lean into neutrality as consolidation accelerates</t>
        </is>
      </c>
      <c r="C4" s="12" t="inlineStr">
        <is>
          <t>Databricks 'open, no lock-in' vs IBM/Salesforce roll-ups</t>
        </is>
      </c>
      <c r="D4" s="12" t="n">
        <v>5</v>
      </c>
      <c r="E4" s="12" t="n">
        <v>2</v>
      </c>
      <c r="F4" s="12" t="n">
        <v>5</v>
      </c>
      <c r="G4" s="12" t="n">
        <v>50</v>
      </c>
      <c r="H4" s="12" t="inlineStr">
        <is>
          <t>IBM(Confluent/StreamSets), Salesforce(Informatica), Qlik(Talend) = walled gardens; OE is the independent alt</t>
        </is>
      </c>
    </row>
    <row r="5">
      <c r="A5" s="12" t="n">
        <v>4</v>
      </c>
      <c r="B5" s="15" t="inlineStr">
        <is>
          <t>'Success Stories' page with QUANTIFIED member outcomes</t>
        </is>
      </c>
      <c r="C5" s="12" t="inlineStr">
        <is>
          <t>Phala (300% sales, 60% faster), Fivetran</t>
        </is>
      </c>
      <c r="D5" s="12" t="n">
        <v>5</v>
      </c>
      <c r="E5" s="12" t="n">
        <v>2</v>
      </c>
      <c r="F5" s="12" t="n">
        <v>5</v>
      </c>
      <c r="G5" s="12" t="n">
        <v>50</v>
      </c>
      <c r="H5" s="12" t="inlineStr">
        <is>
          <t>Phala's numbers-first page vs. logo walls; OE has Mercedes/Acentrik, EuProGigant, Staatsbibliothek Berlin unused</t>
        </is>
      </c>
    </row>
    <row r="6">
      <c r="A6" s="12" t="n">
        <v>5</v>
      </c>
      <c r="B6" s="15" t="inlineStr">
        <is>
          <t>Public quarterly transparency + governance + roadmap report</t>
        </is>
      </c>
      <c r="C6" s="12" t="inlineStr">
        <is>
          <t>Streamr (quarterly), iExec (roadmap), Secret Network</t>
        </is>
      </c>
      <c r="D6" s="12" t="n">
        <v>4</v>
      </c>
      <c r="E6" s="12" t="n">
        <v>2</v>
      </c>
      <c r="F6" s="12" t="n">
        <v>5</v>
      </c>
      <c r="G6" s="12" t="n">
        <v>40</v>
      </c>
      <c r="H6" s="12" t="inlineStr">
        <is>
          <t>Fits a governance-first open collective; recurring trust content at near-zero cost</t>
        </is>
      </c>
    </row>
    <row r="7">
      <c r="A7" s="12" t="n">
        <v>6</v>
      </c>
      <c r="B7" s="15" t="inlineStr">
        <is>
          <t>Live Compute-to-Data demo on the homepage</t>
        </is>
      </c>
      <c r="C7" s="12" t="inlineStr">
        <is>
          <t>iExec 'Try the demo', Phala free credits</t>
        </is>
      </c>
      <c r="D7" s="12" t="n">
        <v>5</v>
      </c>
      <c r="E7" s="12" t="n">
        <v>3</v>
      </c>
      <c r="F7" s="12" t="n">
        <v>5</v>
      </c>
      <c r="G7" s="12" t="n">
        <v>33.3</v>
      </c>
      <c r="H7" s="12" t="inlineStr">
        <is>
          <t>Makes an abstract capability tangible; top self-serve conversion lever</t>
        </is>
      </c>
    </row>
    <row r="8">
      <c r="A8" s="12" t="n">
        <v>7</v>
      </c>
      <c r="B8" s="15" t="inlineStr">
        <is>
          <t>Frame member cohorts as named co-branded 'data networks'</t>
        </is>
      </c>
      <c r="C8" s="12" t="inlineStr">
        <is>
          <t>Apheris (AISB/ADMET consortia)</t>
        </is>
      </c>
      <c r="D8" s="12" t="n">
        <v>5</v>
      </c>
      <c r="E8" s="12" t="n">
        <v>3</v>
      </c>
      <c r="F8" s="12" t="n">
        <v>5</v>
      </c>
      <c r="G8" s="12" t="n">
        <v>33.3</v>
      </c>
      <c r="H8" s="12" t="inlineStr">
        <is>
          <t>Each new member = fresh PR + members co-market; OEC structure makes this nearly free</t>
        </is>
      </c>
    </row>
    <row r="9">
      <c r="A9" s="12" t="n">
        <v>8</v>
      </c>
      <c r="B9" s="15" t="inlineStr">
        <is>
          <t>Quantify + badge Gaia-X / IDS credentials</t>
        </is>
      </c>
      <c r="C9" s="12" t="inlineStr">
        <is>
          <t>OVHcloud ('Gaia-X label level 3')</t>
        </is>
      </c>
      <c r="D9" s="12" t="n">
        <v>4</v>
      </c>
      <c r="E9" s="12" t="n">
        <v>2</v>
      </c>
      <c r="F9" s="12" t="n">
        <v>4</v>
      </c>
      <c r="G9" s="12" t="n">
        <v>32</v>
      </c>
      <c r="H9" s="12" t="inlineStr">
        <is>
          <t>Turns compliance lineage into a headline claim buyers compare on</t>
        </is>
      </c>
    </row>
    <row r="10">
      <c r="A10" s="12" t="n">
        <v>9</v>
      </c>
      <c r="B10" s="15" t="inlineStr">
        <is>
          <t>Role-specific landing pages (CDO, DPO, public-sector lead)</t>
        </is>
      </c>
      <c r="C10" s="12" t="inlineStr">
        <is>
          <t>Sarus (DPO page)</t>
        </is>
      </c>
      <c r="D10" s="12" t="n">
        <v>3</v>
      </c>
      <c r="E10" s="12" t="n">
        <v>2</v>
      </c>
      <c r="F10" s="12" t="n">
        <v>4</v>
      </c>
      <c r="G10" s="12" t="n">
        <v>24</v>
      </c>
      <c r="H10" s="12" t="inlineStr">
        <is>
          <t>ABM/SEO by persona; low build cost</t>
        </is>
      </c>
    </row>
    <row r="11">
      <c r="A11" s="12" t="n">
        <v>10</v>
      </c>
      <c r="B11" s="15" t="inlineStr">
        <is>
          <t>Release-synced blogging (post per capability GA)</t>
        </is>
      </c>
      <c r="C11" s="12" t="inlineStr">
        <is>
          <t>Snowflake Clean Rooms, Informatica, Pega</t>
        </is>
      </c>
      <c r="D11" s="12" t="n">
        <v>3</v>
      </c>
      <c r="E11" s="12" t="n">
        <v>2</v>
      </c>
      <c r="F11" s="12" t="n">
        <v>4</v>
      </c>
      <c r="G11" s="12" t="n">
        <v>24</v>
      </c>
      <c r="H11" s="12" t="inlineStr">
        <is>
          <t>Content velocity = release velocity; cheap cadence discipline</t>
        </is>
      </c>
    </row>
    <row r="12">
      <c r="A12" s="12" t="n">
        <v>11</v>
      </c>
      <c r="B12" s="15" t="inlineStr">
        <is>
          <t>Recurring webinar / office-hours tied to a credible anchor</t>
        </is>
      </c>
      <c r="C12" s="12" t="inlineStr">
        <is>
          <t>Duality (DARPA), IBM ODM (monthly)</t>
        </is>
      </c>
      <c r="D12" s="12" t="n">
        <v>3</v>
      </c>
      <c r="E12" s="12" t="n">
        <v>2</v>
      </c>
      <c r="F12" s="12" t="n">
        <v>4</v>
      </c>
      <c r="G12" s="12" t="n">
        <v>24</v>
      </c>
      <c r="H12" s="12" t="inlineStr">
        <is>
          <t>Turns ecosystem work (Gaia-X/IDSA cycles) into a content drumbeat</t>
        </is>
      </c>
    </row>
    <row r="13">
      <c r="A13" s="12" t="n">
        <v>12</v>
      </c>
      <c r="B13" s="15" t="inlineStr">
        <is>
          <t>SEO explainer hub ('What is compute-to-data?', 'data space')</t>
        </is>
      </c>
      <c r="C13" s="12" t="inlineStr">
        <is>
          <t>Lifebit, Atlan, IONOS 'Digital Guide'</t>
        </is>
      </c>
      <c r="D13" s="12" t="n">
        <v>4</v>
      </c>
      <c r="E13" s="12" t="n">
        <v>3</v>
      </c>
      <c r="F13" s="12" t="n">
        <v>4</v>
      </c>
      <c r="G13" s="12" t="n">
        <v>21.3</v>
      </c>
      <c r="H13" s="12" t="inlineStr">
        <is>
          <t>Captures non-branded search demand OE should own</t>
        </is>
      </c>
    </row>
    <row r="14">
      <c r="A14" s="12" t="n">
        <v>13</v>
      </c>
      <c r="B14" s="15" t="inlineStr">
        <is>
          <t>Annual 'State of X' practitioner research report</t>
        </is>
      </c>
      <c r="C14" s="12" t="inlineStr">
        <is>
          <t>dbt, Precisely, Habu</t>
        </is>
      </c>
      <c r="D14" s="12" t="n">
        <v>4</v>
      </c>
      <c r="E14" s="12" t="n">
        <v>3</v>
      </c>
      <c r="F14" s="12" t="n">
        <v>4</v>
      </c>
      <c r="G14" s="12" t="n">
        <v>21.3</v>
      </c>
      <c r="H14" s="12" t="inlineStr">
        <is>
          <t>Full-funnel content + PR + gated leads; e.g. 'State of Data Monetization'</t>
        </is>
      </c>
    </row>
    <row r="15">
      <c r="A15" s="12" t="n">
        <v>14</v>
      </c>
      <c r="B15" s="15" t="inlineStr">
        <is>
          <t>Pursue standards-body authority (CEN/CENELEC / IDSA)</t>
        </is>
      </c>
      <c r="C15" s="12" t="inlineStr">
        <is>
          <t>Dawex ('Trusted Data Transaction' -&gt; EN standard)</t>
        </is>
      </c>
      <c r="D15" s="12" t="n">
        <v>5</v>
      </c>
      <c r="E15" s="12" t="n">
        <v>5</v>
      </c>
      <c r="F15" s="12" t="n">
        <v>4</v>
      </c>
      <c r="G15" s="12" t="n">
        <v>16</v>
      </c>
      <c r="H15" s="12" t="inlineStr">
        <is>
          <t>Hard-to-copy authority once owned; multi-quarter</t>
        </is>
      </c>
    </row>
    <row r="16">
      <c r="A16" s="12" t="n">
        <v>15</v>
      </c>
      <c r="B16" s="15" t="inlineStr">
        <is>
          <t>Co-author technical/academic papers with members</t>
        </is>
      </c>
      <c r="C16" s="12" t="inlineStr">
        <is>
          <t>Fraunhofer, Tune Insight (EPFL)</t>
        </is>
      </c>
      <c r="D16" s="12" t="n">
        <v>3</v>
      </c>
      <c r="E16" s="12" t="n">
        <v>4</v>
      </c>
      <c r="F16" s="12" t="n">
        <v>4</v>
      </c>
      <c r="G16" s="12" t="n">
        <v>12</v>
      </c>
      <c r="H16" s="12" t="inlineStr">
        <is>
          <t>'We defined this' authority pure-commercial rivals can't match</t>
        </is>
      </c>
    </row>
    <row r="17">
      <c r="A17" s="12" t="n">
        <v>16</v>
      </c>
      <c r="B17" s="15" t="inlineStr">
        <is>
          <t>Free public course / education track</t>
        </is>
      </c>
      <c r="C17" s="12" t="inlineStr">
        <is>
          <t>OpenMined courses, Confluent</t>
        </is>
      </c>
      <c r="D17" s="12" t="n">
        <v>3</v>
      </c>
      <c r="E17" s="12" t="n">
        <v>4</v>
      </c>
      <c r="F17" s="12" t="n">
        <v>3</v>
      </c>
      <c r="G17" s="12" t="n">
        <v>9</v>
      </c>
      <c r="H17" s="12" t="inlineStr">
        <is>
          <t>Top-of-funnel education + developer/talent pipeline</t>
        </is>
      </c>
    </row>
    <row r="18">
      <c r="A18" s="12" t="n">
        <v>17</v>
      </c>
      <c r="B18" s="15" t="inlineStr">
        <is>
          <t>Flagship annual event + recorded talks</t>
        </is>
      </c>
      <c r="C18" s="12" t="inlineStr">
        <is>
          <t>Flower AI Summit, dbt Coalesce</t>
        </is>
      </c>
      <c r="D18" s="12" t="n">
        <v>3</v>
      </c>
      <c r="E18" s="12" t="n">
        <v>4</v>
      </c>
      <c r="F18" s="12" t="n">
        <v>3</v>
      </c>
      <c r="G18" s="12" t="n">
        <v>9</v>
      </c>
      <c r="H18" s="12" t="inlineStr">
        <is>
          <t>Evergreen content + lead-gen anchor; even a modest virtual summit</t>
        </is>
      </c>
    </row>
    <row r="19">
      <c r="A19" s="12" t="n">
        <v>18</v>
      </c>
      <c r="B19" s="15" t="inlineStr">
        <is>
          <t>Editorial sub-brand for policy/analyst audience</t>
        </is>
      </c>
      <c r="C19" s="12" t="inlineStr">
        <is>
          <t>OVHcloud 'Trusted Cloud Digest'</t>
        </is>
      </c>
      <c r="D19" s="12" t="n">
        <v>2</v>
      </c>
      <c r="E19" s="12" t="n">
        <v>3</v>
      </c>
      <c r="F19" s="12" t="n">
        <v>3</v>
      </c>
      <c r="G19" s="12" t="n">
        <v>8</v>
      </c>
      <c r="H19" s="12" t="inlineStr">
        <is>
          <t>Category-authority content aimed at CDOs/regulators</t>
        </is>
      </c>
    </row>
  </sheetData>
  <autoFilter ref="A1:H19"/>
  <conditionalFormatting sqref="G2:G19">
    <cfRule type="colorScale" priority="1">
      <colorScale>
        <cfvo type="min"/>
        <cfvo type="max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6" customWidth="1" min="3" max="3"/>
    <col width="26" customWidth="1" min="4" max="4"/>
    <col width="46" customWidth="1" min="5" max="5"/>
  </cols>
  <sheetData>
    <row r="1">
      <c r="A1" s="16" t="inlineStr">
        <is>
          <t>Ocean Enterprise Competitor Scoring Model</t>
        </is>
      </c>
    </row>
    <row r="3">
      <c r="A3" s="17" t="inlineStr">
        <is>
          <t>Criterion</t>
        </is>
      </c>
      <c r="B3" s="17" t="inlineStr">
        <is>
          <t>Weight</t>
        </is>
      </c>
      <c r="C3" s="17" t="inlineStr">
        <is>
          <t>1 (low)</t>
        </is>
      </c>
      <c r="D3" s="17" t="inlineStr">
        <is>
          <t>3 (mid)</t>
        </is>
      </c>
      <c r="E3" s="17" t="inlineStr">
        <is>
          <t>5 (high)</t>
        </is>
      </c>
    </row>
    <row r="4">
      <c r="A4" t="inlineStr">
        <is>
          <t>Relevance</t>
        </is>
      </c>
      <c r="B4" t="inlineStr">
        <is>
          <t>.25</t>
        </is>
      </c>
      <c r="C4" t="inlineStr">
        <is>
          <t>Different job-to-be-done</t>
        </is>
      </c>
      <c r="D4" t="inlineStr">
        <is>
          <t>Adjacent capability</t>
        </is>
      </c>
      <c r="E4" t="inlineStr">
        <is>
          <t>Same job: data stays w/ provider + C2D + monetization/data-space</t>
        </is>
      </c>
    </row>
    <row r="5">
      <c r="A5" t="inlineStr">
        <is>
          <t>Positioning</t>
        </is>
      </c>
      <c r="B5" t="inlineStr">
        <is>
          <t>.20</t>
        </is>
      </c>
      <c r="C5" t="inlineStr">
        <is>
          <t>Vague/undifferentiated</t>
        </is>
      </c>
      <c r="D5" t="inlineStr">
        <is>
          <t>Clear but generic</t>
        </is>
      </c>
      <c r="E5" t="inlineStr">
        <is>
          <t>Sharp, ownable category phrase repeated everywhere</t>
        </is>
      </c>
    </row>
    <row r="6">
      <c r="A6" t="inlineStr">
        <is>
          <t>Traction</t>
        </is>
      </c>
      <c r="B6" t="inlineStr">
        <is>
          <t>.15</t>
        </is>
      </c>
      <c r="C6" t="inlineStr">
        <is>
          <t>Pre-traction / winding down</t>
        </is>
      </c>
      <c r="D6" t="inlineStr">
        <is>
          <t>Growing mid-market</t>
        </is>
      </c>
      <c r="E6" t="inlineStr">
        <is>
          <t>Category scale (funding/customers/revenue)</t>
        </is>
      </c>
    </row>
    <row r="7">
      <c r="A7" t="inlineStr">
        <is>
          <t>Trust</t>
        </is>
      </c>
      <c r="B7" t="inlineStr">
        <is>
          <t>.15</t>
        </is>
      </c>
      <c r="C7" t="inlineStr">
        <is>
          <t>No proof / no compliance</t>
        </is>
      </c>
      <c r="D7" t="inlineStr">
        <is>
          <t>Some named clients</t>
        </is>
      </c>
      <c r="E7" t="inlineStr">
        <is>
          <t>Blue-chip clients + standards/compliance + security posture</t>
        </is>
      </c>
    </row>
    <row r="8">
      <c r="A8" t="inlineStr">
        <is>
          <t>Community</t>
        </is>
      </c>
      <c r="B8" t="inlineStr">
        <is>
          <t>.10</t>
        </is>
      </c>
      <c r="C8" t="inlineStr">
        <is>
          <t>No community</t>
        </is>
      </c>
      <c r="D8" t="inlineStr">
        <is>
          <t>Modest following</t>
        </is>
      </c>
      <c r="E8" t="inlineStr">
        <is>
          <t>Strong OSS/dev community, events, large following</t>
        </is>
      </c>
    </row>
    <row r="9">
      <c r="A9" t="inlineStr">
        <is>
          <t>Tactic transfer</t>
        </is>
      </c>
      <c r="B9" t="inlineStr">
        <is>
          <t>.15</t>
        </is>
      </c>
      <c r="C9" t="inlineStr">
        <is>
          <t>Not transferable to OEC</t>
        </is>
      </c>
      <c r="D9" t="inlineStr">
        <is>
          <t>Partially transferable</t>
        </is>
      </c>
      <c r="E9" t="inlineStr">
        <is>
          <t>Signature tactic directly copyable by OEC</t>
        </is>
      </c>
    </row>
    <row r="11">
      <c r="A11" t="inlineStr">
        <is>
          <t>Composite</t>
        </is>
      </c>
      <c r="B11">
        <f> sum(score x weight), 1-5 scale</f>
        <v/>
      </c>
      <c r="C11" t="inlineStr"/>
    </row>
    <row r="12">
      <c r="A12" t="inlineStr">
        <is>
          <t>Segment weight</t>
        </is>
      </c>
      <c r="B12" t="inlineStr">
        <is>
          <t>Applied to composite to compute Strategic priority (down-weights ecosystem giants)</t>
        </is>
      </c>
      <c r="C12" t="inlineStr"/>
    </row>
    <row r="13">
      <c r="A13" t="inlineStr">
        <is>
          <t xml:space="preserve">  Direct competitor</t>
        </is>
      </c>
      <c r="B13" t="inlineStr">
        <is>
          <t>1.0</t>
        </is>
      </c>
      <c r="C13" t="inlineStr">
        <is>
          <t>Same job-to-be-done as OE</t>
        </is>
      </c>
    </row>
    <row r="14">
      <c r="A14" t="inlineStr">
        <is>
          <t xml:space="preserve">  Technical alternative</t>
        </is>
      </c>
      <c r="B14" t="inlineStr">
        <is>
          <t>0.7</t>
        </is>
      </c>
      <c r="C14" t="inlineStr">
        <is>
          <t>Achieves a similar outcome via different tech</t>
        </is>
      </c>
    </row>
    <row r="15">
      <c r="A15" t="inlineStr">
        <is>
          <t xml:space="preserve">  Messaging reference</t>
        </is>
      </c>
      <c r="B15" t="inlineStr">
        <is>
          <t>0.5</t>
        </is>
      </c>
      <c r="C15" t="inlineStr">
        <is>
          <t>Learn positioning/marketing from; not a direct competitor</t>
        </is>
      </c>
    </row>
    <row r="16">
      <c r="A16" t="inlineStr">
        <is>
          <t xml:space="preserve">  Ecosystem platform</t>
        </is>
      </c>
      <c r="B16" t="inlineStr">
        <is>
          <t>0.3</t>
        </is>
      </c>
      <c r="C16" t="inlineStr">
        <is>
          <t>Hyperscaler/suite sub-product; visibility != strategic relevance</t>
        </is>
      </c>
    </row>
    <row r="17">
      <c r="A17" t="inlineStr">
        <is>
          <t>Strategic priority</t>
        </is>
      </c>
      <c r="B17">
        <f> Composite / 5 x 100 x Segment weight  (0-100)</f>
        <v/>
      </c>
      <c r="C17" t="inlineStr"/>
    </row>
    <row r="19">
      <c r="A19" t="inlineStr">
        <is>
          <t>CAVEAT</t>
        </is>
      </c>
      <c r="B19" t="inlineStr">
        <is>
          <t>Scores are structured ANALYST JUDGEMENT on the rubric above, not measured data. Adjust weights to your strategy and the ranking recomputes.</t>
        </is>
      </c>
      <c r="C1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90" customWidth="1" min="3" max="3"/>
  </cols>
  <sheetData>
    <row r="1" ht="30" customHeight="1">
      <c r="A1" s="1" t="inlineStr">
        <is>
          <t>Macro-category</t>
        </is>
      </c>
      <c r="B1" s="1" t="inlineStr">
        <is>
          <t># companies</t>
        </is>
      </c>
      <c r="C1" s="1" t="inlineStr">
        <is>
          <t>Sub-categories / examples</t>
        </is>
      </c>
    </row>
    <row r="2">
      <c r="A2" s="12" t="inlineStr">
        <is>
          <t>Decentralized / Web3 Data &amp; Compute</t>
        </is>
      </c>
      <c r="B2" s="12" t="n">
        <v>6</v>
      </c>
      <c r="C2" s="12" t="inlineStr">
        <is>
          <t>Oasis Protocol, Fetch.ai (ASI Alliance), iExec, Secret Network, Streamr, Phala Network</t>
        </is>
      </c>
    </row>
    <row r="3">
      <c r="A3" s="12" t="inlineStr">
        <is>
          <t>Data Spaces &amp; EU Sovereignty</t>
        </is>
      </c>
      <c r="B3" s="12" t="n">
        <v>6</v>
      </c>
      <c r="C3" s="12" t="inlineStr">
        <is>
          <t>Advaneo, Dawex, IONOS SE, Sovity, Fraunhofer ISST (IDS), OVHcloud</t>
        </is>
      </c>
    </row>
    <row r="4">
      <c r="A4" s="12" t="inlineStr">
        <is>
          <t>Data Marketplaces, Monetization &amp; Clean Rooms</t>
        </is>
      </c>
      <c r="B4" s="12" t="n">
        <v>6</v>
      </c>
      <c r="C4" s="12" t="inlineStr">
        <is>
          <t>AWS Data Exchange, Databricks Marketplace, Snowflake Data Marketplace, Narrative.io, Habu (by LiveRamp), Snowflake Data Clean Rooms</t>
        </is>
      </c>
    </row>
    <row r="5">
      <c r="A5" s="12" t="inlineStr">
        <is>
          <t>Privacy-Preserving Computation</t>
        </is>
      </c>
      <c r="B5" s="12" t="n">
        <v>6</v>
      </c>
      <c r="C5" s="12" t="inlineStr">
        <is>
          <t>Duality Technologies, Inpher, TripleBlind, Oblivious AI, Sarus Technologies, Tune Insight</t>
        </is>
      </c>
    </row>
    <row r="6">
      <c r="A6" s="12" t="inlineStr">
        <is>
          <t>Federated Analytics &amp; ML</t>
        </is>
      </c>
      <c r="B6" s="12" t="n">
        <v>6</v>
      </c>
      <c r="C6" s="12" t="inlineStr">
        <is>
          <t>Devron, Lifebit, Apheris, Flower (flwr.dev), NVIDIA FLARE, OpenMined / PySyft</t>
        </is>
      </c>
    </row>
    <row r="7">
      <c r="A7" s="12" t="inlineStr">
        <is>
          <t>Data Integration, ETL &amp; Streaming</t>
        </is>
      </c>
      <c r="B7" s="12" t="n">
        <v>8</v>
      </c>
      <c r="C7" s="12" t="inlineStr">
        <is>
          <t>Fivetran + dbt Labs (merged), IBM DataStage, Microsoft Azure Data Factory, SAP Data Services, Talend (Qlik), Confluent, StreamSets, Striim</t>
        </is>
      </c>
    </row>
    <row r="8">
      <c r="A8" s="12" t="inlineStr">
        <is>
          <t>Governance, Cataloging &amp; Decisioning</t>
        </is>
      </c>
      <c r="B8" s="12" t="n">
        <v>8</v>
      </c>
      <c r="C8" s="12" t="inlineStr">
        <is>
          <t>Alation, Atlan, Collibra, Precisely, Informatica, FICO, IBM ODM, Pegasystems</t>
        </is>
      </c>
    </row>
    <row r="9">
      <c r="A9" s="12" t="inlineStr">
        <is>
          <t>TOTAL</t>
        </is>
      </c>
      <c r="B9" s="12" t="n">
        <v>46</v>
      </c>
      <c r="C9" s="12" t="inlineStr">
        <is>
          <t>46 distinct competitors today (47 source rows; Fivetran + dbt Labs merged into one entity, Jun 2026)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6" t="inlineStr">
        <is>
          <t>Corrections &amp; Method Log - v2 (2026-07-28)</t>
        </is>
      </c>
    </row>
    <row r="2">
      <c r="A2" t="inlineStr"/>
    </row>
    <row r="3">
      <c r="A3" s="18" t="inlineStr">
        <is>
          <t>FACTUAL CORRECTIONS applied in this version:</t>
        </is>
      </c>
    </row>
    <row r="4">
      <c r="A4" t="inlineStr">
        <is>
          <t xml:space="preserve">  1. Fivetran + dbt Labs COMPLETED an all-stock merger on 1 Jun 2026 (announced 13 Oct 2025). Now ONE entity</t>
        </is>
      </c>
    </row>
    <row r="5">
      <c r="A5" t="inlineStr">
        <is>
          <t xml:space="preserve">     positioned as 'Data Infrastructure for Trusted AI Agents' (Fraser CEO, Handy President). Merged into a single row.</t>
        </is>
      </c>
    </row>
    <row r="6">
      <c r="A6" t="inlineStr">
        <is>
          <t xml:space="preserve">  2. Salesforce COMPLETED its ~$8B acquisition of Informatica on 18 Nov 2025. Informatica is NO LONGER an</t>
        </is>
      </c>
    </row>
    <row r="7">
      <c r="A7" t="inlineStr">
        <is>
          <t xml:space="preserve">     independent public company; row now flags Salesforce as owner.</t>
        </is>
      </c>
    </row>
    <row r="8">
      <c r="A8" t="inlineStr">
        <is>
          <t xml:space="preserve">  3. IBM COMPLETED its ~$11B acquisition of Confluent on 17 Mar 2026 (announced Dec 2025). Row = 'completed'.</t>
        </is>
      </c>
    </row>
    <row r="9">
      <c r="A9" t="inlineStr">
        <is>
          <t xml:space="preserve">  4. Ocean Protocol Foundation withdrew from the ASI Alliance on 9 Oct 2025 (with litigation) - confirmed correct.</t>
        </is>
      </c>
    </row>
    <row r="10">
      <c r="A10" t="inlineStr">
        <is>
          <t xml:space="preserve">  5. Count corrected: 47 competitor rows in the source (a 48th row is the title banner). After the Fivetran+dbt</t>
        </is>
      </c>
    </row>
    <row r="11">
      <c r="A11" t="inlineStr">
        <is>
          <t xml:space="preserve">     merger, there are 46 DISTINCT competitors today. Categories collapsed from 19 labels into 7 macro-categories.</t>
        </is>
      </c>
    </row>
    <row r="12">
      <c r="A12" t="inlineStr"/>
    </row>
    <row r="13">
      <c r="A13" s="19" t="inlineStr">
        <is>
          <t>WHAT'S NEW vs v1 (turning the inventory into a decision instrument):</t>
        </is>
      </c>
    </row>
    <row r="14">
      <c r="A14" t="inlineStr">
        <is>
          <t xml:space="preserve">  - Weighted 6-criterion scoring model (see 'Scoring Model' tab) -&gt; Composite + Strategic priority.</t>
        </is>
      </c>
    </row>
    <row r="15">
      <c r="A15" t="inlineStr">
        <is>
          <t xml:space="preserve">  - Segment weights (Direct/Technical/Messaging/Ecosystem) so hyperscaler visibility does not dominate.</t>
        </is>
      </c>
    </row>
    <row r="16">
      <c r="A16" t="inlineStr">
        <is>
          <t xml:space="preserve">  - Ocean Enterprise scored on the same criteria + a gap analysis vs. the direct-competitor average.</t>
        </is>
      </c>
    </row>
    <row r="17">
      <c r="A17" t="inlineStr">
        <is>
          <t xml:space="preserve">  - Metric-level separation: Own (company/product) followers/employees vs. Parent/owner followers for context.</t>
        </is>
      </c>
    </row>
    <row r="18">
      <c r="A18" t="inlineStr">
        <is>
          <t xml:space="preserve">  - Evidence columns: primary source (homepage), access date, and a Confidence rating per row.</t>
        </is>
      </c>
    </row>
    <row r="19">
      <c r="A19" t="inlineStr">
        <is>
          <t xml:space="preserve">  - Ranked Tactic Backlog with Expected impact / Effort / Fit-for-OEC / Supporting evidence.</t>
        </is>
      </c>
    </row>
    <row r="20">
      <c r="A20" t="inlineStr"/>
    </row>
    <row r="21">
      <c r="A21" s="20" t="inlineStr">
        <is>
          <t>DATA-RELIABILITY CAVEATS (unchanged, important):</t>
        </is>
      </c>
    </row>
    <row r="22">
      <c r="A22" t="inlineStr">
        <is>
          <t xml:space="preserve">  - Direct site fetches (WebFetch) were blocked by the environment's egress policy for ALL domains, so on-page</t>
        </is>
      </c>
    </row>
    <row r="23">
      <c r="A23" t="inlineStr">
        <is>
          <t xml:space="preserve">    CTA text and blog indexes come from indexed search snippets, press and third-party trackers, not live pages.</t>
        </is>
      </c>
    </row>
    <row r="24">
      <c r="A24" t="inlineStr">
        <is>
          <t xml:space="preserve">    The 'Primary source' column is the canonical audit target; open it to verify.</t>
        </is>
      </c>
    </row>
    <row r="25">
      <c r="A25" t="inlineStr">
        <is>
          <t xml:space="preserve">  - LinkedIn follower/employee figures are approximate, point-in-time, and vary ~10-15% between trackers. Trust the</t>
        </is>
      </c>
    </row>
    <row r="26">
      <c r="A26" t="inlineStr">
        <is>
          <t xml:space="preserve">    BANDS (2k vs 20k vs 500k), not the exact digits. 'n/v' = not verifiable via public search this pass.</t>
        </is>
      </c>
    </row>
    <row r="27">
      <c r="A27" t="inlineStr">
        <is>
          <t xml:space="preserve">  - Scores are analyst judgement on the published rubric, NOT measured performance data - adjust and re-rank.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2026-07-28T06:23:17Z</dcterms:created>
  <dcterms:modified xsi:type="dcterms:W3CDTF">2026-07-28T06:23:17Z</dcterms:modified>
</cp:coreProperties>
</file>